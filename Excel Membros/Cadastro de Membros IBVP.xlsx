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dastro de Mebros IBVP" sheetId="1" r:id="rId1"/>
  </sheets>
  <definedNames>
    <definedName name="_xlnm._FilterDatabase" localSheetId="0" hidden="1">'Cadastro de Mebros IBVP'!$A$1:$AC$164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yyyy&quot;-&quot;mm&quot;-&quot;dd"/>
    <numFmt numFmtId="165" formatCode="00000-000"/>
    <numFmt numFmtId="166" formatCode="m/d/yyyy h:mm:ss"/>
    <numFmt numFmtId="167" formatCode="dd&quot;/&quot;mm&quot;/&quot;yyyy"/>
    <numFmt numFmtId="168" formatCode="(00) 0 0000-0000"/>
    <numFmt numFmtId="169" formatCode="(00) 00000-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55"/>
  <sheetViews>
    <sheetView workbookViewId="0" rightToLeft="0"/>
  </sheetViews>
  <sheetData>
    <row r="1" xml:space="preserve">
      <c r="A1" t="str">
        <v>Carimbo de data/hora</v>
      </c>
      <c r="B1" t="str">
        <v>Id</v>
      </c>
      <c r="C1" t="str">
        <v>nome</v>
      </c>
      <c r="D1" t="str">
        <v>Nome Completo</v>
      </c>
      <c r="E1" t="str">
        <v>data_nascimento</v>
      </c>
      <c r="F1" t="str">
        <v>idade</v>
      </c>
      <c r="G1" t="str">
        <v>mes</v>
      </c>
      <c r="H1" t="str">
        <v>telefone</v>
      </c>
      <c r="I1" t="str">
        <v>sexo</v>
      </c>
      <c r="J1" t="str">
        <v>observacoes</v>
      </c>
      <c r="K1" t="str">
        <v>status_civil</v>
      </c>
      <c r="L1" t="str">
        <v xml:space="preserve">nome_conjuge </v>
      </c>
      <c r="M1" t="str">
        <v xml:space="preserve">parentesco </v>
      </c>
      <c r="N1" t="str">
        <v>rua</v>
      </c>
      <c r="O1" t="str">
        <v>numero</v>
      </c>
      <c r="P1" t="str">
        <v>bairro</v>
      </c>
      <c r="Q1" t="str">
        <v>cidade</v>
      </c>
      <c r="R1" t="str">
        <v>estado</v>
      </c>
      <c r="S1" t="str">
        <v>cep</v>
      </c>
      <c r="T1" t="str">
        <v>batizado</v>
      </c>
      <c r="U1" t="str">
        <v>membro</v>
      </c>
      <c r="V1" t="str">
        <v>situacao_atual</v>
      </c>
      <c r="W1" t="str">
        <v>motivo_desligamento</v>
      </c>
      <c r="X1" t="str">
        <v>e_lider</v>
      </c>
      <c r="Y1" t="str" xml:space="preserve">
        <v xml:space="preserve">e_professor_ebq
</v>
      </c>
      <c r="Z1" t="str">
        <v xml:space="preserve">faixa_etaria </v>
      </c>
      <c r="AA1" t="str">
        <v>Está em um pequeno grupo ?</v>
      </c>
      <c r="AB1" t="str">
        <v>grupo</v>
      </c>
      <c r="AC1" t="str">
        <v>numerodomes</v>
      </c>
      <c r="AD1" t="str">
        <v>avatar_url</v>
      </c>
    </row>
    <row r="2" xml:space="preserve">
      <c r="A2">
        <v>45618.89460788194</v>
      </c>
      <c r="B2">
        <v>1</v>
      </c>
      <c r="C2" t="str">
        <f>UPPER(D2)</f>
        <v>ABNER ABADIS LIMA</v>
      </c>
      <c r="D2" t="str">
        <v>ABNER ABADIS LIMA</v>
      </c>
      <c r="E2">
        <v>44563</v>
      </c>
      <c r="F2">
        <f>DATEDIF(E2,TODAY(),"Y")</f>
        <v>3</v>
      </c>
      <c r="G2" t="str">
        <f>TEXT(E2,"MMMM")</f>
        <v>janeiro</v>
      </c>
      <c r="H2">
        <v>27995298253</v>
      </c>
      <c r="I2" t="str">
        <v>Masculino</v>
      </c>
      <c r="K2" t="str">
        <v>Solteiro(a)</v>
      </c>
      <c r="M2" t="str">
        <v xml:space="preserve">JILVANETE LIMA DOS SANTOS </v>
      </c>
      <c r="N2" t="str">
        <v xml:space="preserve">HORIZONTE FELIZ </v>
      </c>
      <c r="O2" t="str">
        <v>02</v>
      </c>
      <c r="P2" t="str">
        <v xml:space="preserve">CAMPINA GRANDE </v>
      </c>
      <c r="Q2" t="str">
        <v>Cariacica</v>
      </c>
      <c r="R2" t="str">
        <v>ES</v>
      </c>
      <c r="S2">
        <v>29144306</v>
      </c>
      <c r="T2" t="str">
        <v>Não</v>
      </c>
      <c r="U2" t="str">
        <v>Não</v>
      </c>
      <c r="V2" t="str">
        <v>Ativo</v>
      </c>
      <c r="X2" t="str">
        <v>Não</v>
      </c>
      <c r="Y2" t="str">
        <v>Não</v>
      </c>
      <c r="Z2" t="str">
        <v>0 a 6 anos: Infância</v>
      </c>
      <c r="AA2" t="str">
        <v>Não</v>
      </c>
      <c r="AB2" t="str">
        <v>Sem Grupo</v>
      </c>
      <c r="AC2" xml:space="preserve">
        <f xml:space="preserve">IFERROR(MATCH(G2,{"Janeiro";"Fevereiro";"Março";"Abril";"Maio";"Junho";"Julho";"Agosto";"Setembro";"Outubro";"Novembro";"Dezembro"},0),"")
</f>
        <v>1</v>
      </c>
      <c r="AD2" t="str">
        <v/>
      </c>
    </row>
    <row r="3" xml:space="preserve">
      <c r="A3">
        <v>45614.70593790509</v>
      </c>
      <c r="B3">
        <v>2</v>
      </c>
      <c r="C3" t="str">
        <f>UPPER(D3)</f>
        <v>ADASSA VALENTINA CRUZ DE SOUSA</v>
      </c>
      <c r="D3" t="str">
        <v>ADASSA VALENTINA CRUZ DE SOUSA</v>
      </c>
      <c r="E3">
        <v>39444</v>
      </c>
      <c r="F3">
        <f>DATEDIF(E3,TODAY(),"Y")</f>
        <v>17</v>
      </c>
      <c r="G3" t="str">
        <f>TEXT(E3,"MMMM")</f>
        <v>dezembro</v>
      </c>
      <c r="H3">
        <v>27996046516</v>
      </c>
      <c r="I3" t="str">
        <v>Feminino</v>
      </c>
      <c r="K3" t="str">
        <v>Solteiro(a)</v>
      </c>
      <c r="M3" t="str">
        <v>ADELIDIA DE AZEVEDO CRUZ</v>
      </c>
      <c r="N3" t="str">
        <v>BOM PASTOR</v>
      </c>
      <c r="O3">
        <v>39</v>
      </c>
      <c r="P3" t="str">
        <v>Campo Grande</v>
      </c>
      <c r="Q3" t="str">
        <v>Cariacica</v>
      </c>
      <c r="R3" t="str">
        <v>ES</v>
      </c>
      <c r="S3" t="str">
        <v>29146-060</v>
      </c>
      <c r="T3" t="str">
        <v>Sim</v>
      </c>
      <c r="U3" t="str">
        <v>Sim</v>
      </c>
      <c r="V3" t="str">
        <v>Ativo</v>
      </c>
      <c r="X3" t="str">
        <v>Não</v>
      </c>
      <c r="Y3" t="str">
        <v>Não</v>
      </c>
      <c r="Z3" t="str">
        <v>11 a 17 anos: Adolescente</v>
      </c>
      <c r="AA3" t="str">
        <v>Não</v>
      </c>
      <c r="AB3" t="str">
        <v>Sem Grupo</v>
      </c>
      <c r="AC3" xml:space="preserve">
        <f xml:space="preserve">IFERROR(MATCH(G3,{"Janeiro";"Fevereiro";"Março";"Abril";"Maio";"Junho";"Julho";"Agosto";"Setembro";"Outubro";"Novembro";"Dezembro"},0),"")
</f>
        <v>12</v>
      </c>
      <c r="AD3" t="str">
        <v/>
      </c>
    </row>
    <row r="4" xml:space="preserve">
      <c r="A4">
        <v>45614.70365027778</v>
      </c>
      <c r="B4">
        <v>3</v>
      </c>
      <c r="C4" t="str">
        <f>UPPER(D4)</f>
        <v>ADELIDIA DE AZEVEDO CRUZ</v>
      </c>
      <c r="D4" t="str">
        <v>ADELIDIA DE AZEVEDO CRUZ</v>
      </c>
      <c r="E4">
        <v>27299</v>
      </c>
      <c r="F4">
        <f>DATEDIF(E4,TODAY(),"Y")</f>
        <v>51</v>
      </c>
      <c r="G4" t="str">
        <f>TEXT(E4,"MMMM")</f>
        <v>setembro</v>
      </c>
      <c r="H4">
        <v>27997031407</v>
      </c>
      <c r="I4" t="str">
        <v>Feminino</v>
      </c>
      <c r="K4" t="str">
        <v>Casado(a)</v>
      </c>
      <c r="L4" t="str">
        <v>CARLOS WEBERSON DE SOUSA</v>
      </c>
      <c r="N4" t="str">
        <v>BOM PASTOR</v>
      </c>
      <c r="O4">
        <v>39</v>
      </c>
      <c r="P4" t="str">
        <v>Campo Grande</v>
      </c>
      <c r="Q4" t="str">
        <v>Cariacica</v>
      </c>
      <c r="R4" t="str">
        <v>ES</v>
      </c>
      <c r="S4" t="str">
        <v>29146-060</v>
      </c>
      <c r="T4" t="str">
        <v>Sim</v>
      </c>
      <c r="U4" t="str">
        <v>Sim</v>
      </c>
      <c r="V4" t="str">
        <v>Ativo</v>
      </c>
      <c r="X4" t="str">
        <v>Sim</v>
      </c>
      <c r="Y4" t="str">
        <v>Sim</v>
      </c>
      <c r="Z4" t="str">
        <v>36 a 59 anos: Adulto</v>
      </c>
      <c r="AA4" t="str">
        <v>Não</v>
      </c>
      <c r="AB4" t="str">
        <v>Sem Grupo</v>
      </c>
      <c r="AC4" xml:space="preserve">
        <f xml:space="preserve">IFERROR(MATCH(G4,{"Janeiro";"Fevereiro";"Março";"Abril";"Maio";"Junho";"Julho";"Agosto";"Setembro";"Outubro";"Novembro";"Dezembro"},0),"")
</f>
        <v>9</v>
      </c>
      <c r="AD4" t="str">
        <v/>
      </c>
    </row>
    <row r="5" xml:space="preserve">
      <c r="A5">
        <v>45618.26242648148</v>
      </c>
      <c r="B5">
        <v>4</v>
      </c>
      <c r="C5" t="str">
        <f>UPPER(D5)</f>
        <v xml:space="preserve">ALBERTO CLARO JÚNIOR </v>
      </c>
      <c r="D5" t="str">
        <v xml:space="preserve">Alberto Claro Júnior </v>
      </c>
      <c r="E5">
        <v>29004</v>
      </c>
      <c r="F5">
        <f>DATEDIF(E5,TODAY(),"Y")</f>
        <v>46</v>
      </c>
      <c r="G5" t="str">
        <f>TEXT(E5,"MMMM")</f>
        <v>maio</v>
      </c>
      <c r="H5">
        <v>27988058902</v>
      </c>
      <c r="I5" t="str">
        <v>Masculino</v>
      </c>
      <c r="K5" t="str">
        <v>Casado(a)</v>
      </c>
      <c r="L5" t="str">
        <v xml:space="preserve">Verônica da Silva Alves Claro </v>
      </c>
      <c r="N5" t="str">
        <v xml:space="preserve">Ressurreição </v>
      </c>
      <c r="O5">
        <v>209</v>
      </c>
      <c r="P5" t="str">
        <v xml:space="preserve">Vila Palestina </v>
      </c>
      <c r="Q5" t="str">
        <v>Cariacica</v>
      </c>
      <c r="R5" t="str">
        <v>ES</v>
      </c>
      <c r="S5">
        <v>29145675</v>
      </c>
      <c r="T5" t="str">
        <v>Sim</v>
      </c>
      <c r="U5" t="str">
        <v>Sim</v>
      </c>
      <c r="V5" t="str">
        <v>Ativo</v>
      </c>
      <c r="X5" t="str">
        <v>Não</v>
      </c>
      <c r="Y5" t="str">
        <v>Não</v>
      </c>
      <c r="Z5" t="str">
        <v>36 a 59 anos: Adulto</v>
      </c>
      <c r="AA5" t="str">
        <v>Não</v>
      </c>
      <c r="AB5" t="str">
        <v>Sem Grupo</v>
      </c>
      <c r="AC5" xml:space="preserve">
        <f xml:space="preserve">IFERROR(MATCH(G5,{"Janeiro";"Fevereiro";"Março";"Abril";"Maio";"Junho";"Julho";"Agosto";"Setembro";"Outubro";"Novembro";"Dezembro"},0),"")
</f>
        <v>5</v>
      </c>
      <c r="AD5" t="str">
        <v/>
      </c>
    </row>
    <row r="6" xml:space="preserve">
      <c r="A6">
        <v>45840.63702030093</v>
      </c>
      <c r="B6">
        <v>5</v>
      </c>
      <c r="C6" t="str">
        <f>UPPER(D6)</f>
        <v xml:space="preserve">ALDENY FERREIRA DE OLIVEIRA SOUSA </v>
      </c>
      <c r="D6" t="str">
        <v xml:space="preserve">Aldeny Ferreira de Oliveira Sousa </v>
      </c>
      <c r="E6">
        <v>26253</v>
      </c>
      <c r="F6">
        <f>DATEDIF(E6,TODAY(),"Y")</f>
        <v>54</v>
      </c>
      <c r="G6" t="str">
        <f>TEXT(E6,"MMMM")</f>
        <v>novembro</v>
      </c>
      <c r="H6" t="str">
        <v>(27) 998738834</v>
      </c>
      <c r="I6" t="str">
        <v>Feminino</v>
      </c>
      <c r="L6" t="str">
        <v>Maciel de Araújo Sousa</v>
      </c>
      <c r="N6" t="str">
        <v xml:space="preserve">Porto Seguro </v>
      </c>
      <c r="O6">
        <v>216</v>
      </c>
      <c r="P6" t="str">
        <v xml:space="preserve">Tiradentes </v>
      </c>
      <c r="Q6" t="str">
        <v>Cariacica</v>
      </c>
      <c r="R6" t="str">
        <v>ES</v>
      </c>
      <c r="S6">
        <v>29143508</v>
      </c>
      <c r="T6" t="str">
        <v>Sim</v>
      </c>
      <c r="U6" t="str">
        <v>Sim</v>
      </c>
      <c r="V6" t="str">
        <v>Ativo</v>
      </c>
      <c r="X6" t="str">
        <v>Não</v>
      </c>
      <c r="Y6" t="str">
        <v>Não</v>
      </c>
      <c r="Z6" t="str">
        <v>36 a 59 anos: Adulto</v>
      </c>
      <c r="AA6" t="str">
        <v>Não</v>
      </c>
      <c r="AB6" t="str">
        <v>Sem Grupo</v>
      </c>
      <c r="AC6" xml:space="preserve">
        <f xml:space="preserve">IFERROR(MATCH(G6,{"Janeiro";"Fevereiro";"Março";"Abril";"Maio";"Junho";"Julho";"Agosto";"Setembro";"Outubro";"Novembro";"Dezembro"},0),"")
</f>
        <v>11</v>
      </c>
      <c r="AD6" t="str">
        <v/>
      </c>
    </row>
    <row r="7" xml:space="preserve">
      <c r="A7">
        <v>45614.84731010417</v>
      </c>
      <c r="B7">
        <v>6</v>
      </c>
      <c r="C7" t="str">
        <f>UPPER(D7)</f>
        <v xml:space="preserve">ALÍCIO DE SOUZA PEREIRA </v>
      </c>
      <c r="D7" t="str">
        <v xml:space="preserve">Alício de Souza Pereira </v>
      </c>
      <c r="E7">
        <v>22276</v>
      </c>
      <c r="F7">
        <f>DATEDIF(E7,TODAY(),"Y")</f>
        <v>64</v>
      </c>
      <c r="G7" t="str">
        <f>TEXT(E7,"MMMM")</f>
        <v>dezembro</v>
      </c>
      <c r="H7">
        <v>27998131236</v>
      </c>
      <c r="I7" t="str">
        <v>Masculino</v>
      </c>
      <c r="K7" t="str">
        <v>Casado(a)</v>
      </c>
      <c r="L7" t="str">
        <v xml:space="preserve">Mara Lucia Tavares Pereira </v>
      </c>
      <c r="N7" t="str">
        <v xml:space="preserve">Monte Calvário </v>
      </c>
      <c r="O7" t="str">
        <v>03</v>
      </c>
      <c r="P7" t="str">
        <v xml:space="preserve">Vila Palestina </v>
      </c>
      <c r="Q7" t="str">
        <v>Cariacica</v>
      </c>
      <c r="R7" t="str">
        <v>ES</v>
      </c>
      <c r="S7">
        <v>29145760</v>
      </c>
      <c r="T7" t="str">
        <v>Sim</v>
      </c>
      <c r="U7" t="str">
        <v>Sim</v>
      </c>
      <c r="V7" t="str">
        <v>Ativo</v>
      </c>
      <c r="X7" t="str">
        <v>Não</v>
      </c>
      <c r="Y7" t="str">
        <v>Não</v>
      </c>
      <c r="Z7" t="str">
        <v>60+ anos</v>
      </c>
      <c r="AA7" t="str">
        <v>Não</v>
      </c>
      <c r="AB7" t="str">
        <v>Sem Grupo</v>
      </c>
      <c r="AC7" xml:space="preserve">
        <f xml:space="preserve">IFERROR(MATCH(G7,{"Janeiro";"Fevereiro";"Março";"Abril";"Maio";"Junho";"Julho";"Agosto";"Setembro";"Outubro";"Novembro";"Dezembro"},0),"")
</f>
        <v>12</v>
      </c>
      <c r="AD7" t="str">
        <v/>
      </c>
    </row>
    <row r="8" xml:space="preserve">
      <c r="A8">
        <v>45802.39195916666</v>
      </c>
      <c r="B8">
        <v>7</v>
      </c>
      <c r="C8" t="str">
        <f>UPPER(D8)</f>
        <v xml:space="preserve">AMANDA DE OLIVEIRA SOUSA </v>
      </c>
      <c r="D8" t="str">
        <v xml:space="preserve">Amanda de Oliveira Sousa </v>
      </c>
      <c r="E8">
        <v>35895</v>
      </c>
      <c r="F8">
        <f>DATEDIF(E8,TODAY(),"Y")</f>
        <v>27</v>
      </c>
      <c r="G8" t="str">
        <f>TEXT(E8,"MMMM")</f>
        <v>abril</v>
      </c>
      <c r="H8">
        <v>27997404499</v>
      </c>
      <c r="I8" t="str">
        <v>Feminino</v>
      </c>
      <c r="L8" t="str">
        <v xml:space="preserve">Layson Paulo dos Reis </v>
      </c>
      <c r="N8" t="str">
        <v xml:space="preserve">Rua Porto seguro </v>
      </c>
      <c r="O8">
        <v>216</v>
      </c>
      <c r="P8" t="str">
        <v xml:space="preserve">Tiradentes </v>
      </c>
      <c r="Q8" t="str">
        <v>Cariacica</v>
      </c>
      <c r="R8" t="str">
        <v>ES</v>
      </c>
      <c r="S8">
        <v>29143508</v>
      </c>
      <c r="T8" t="str">
        <v>Sim</v>
      </c>
      <c r="U8" t="str">
        <v>Sim</v>
      </c>
      <c r="V8" t="str">
        <v>Ativo</v>
      </c>
      <c r="X8" t="str">
        <v>Não</v>
      </c>
      <c r="Y8" t="str">
        <v>Não</v>
      </c>
      <c r="Z8" t="str">
        <v>18 a 35 anos: Jovem</v>
      </c>
      <c r="AA8" t="str">
        <v>Não</v>
      </c>
      <c r="AB8" t="str">
        <v>Sem Grupo</v>
      </c>
      <c r="AC8" xml:space="preserve">
        <f xml:space="preserve">IFERROR(MATCH(G8,{"Janeiro";"Fevereiro";"Março";"Abril";"Maio";"Junho";"Julho";"Agosto";"Setembro";"Outubro";"Novembro";"Dezembro"},0),"")
</f>
        <v>4</v>
      </c>
      <c r="AD8" t="str">
        <v/>
      </c>
    </row>
    <row r="9" xml:space="preserve">
      <c r="A9">
        <v>45617.82606777777</v>
      </c>
      <c r="B9">
        <v>8</v>
      </c>
      <c r="C9" t="str">
        <f>UPPER(D9)</f>
        <v xml:space="preserve">AMANDA RONQUETTI DA SILVA LIMA </v>
      </c>
      <c r="D9" t="str">
        <v xml:space="preserve">Amanda Ronquetti da Silva Lima </v>
      </c>
      <c r="E9">
        <v>33368</v>
      </c>
      <c r="F9">
        <f>DATEDIF(E9,TODAY(),"Y")</f>
        <v>34</v>
      </c>
      <c r="G9" t="str">
        <f>TEXT(E9,"MMMM")</f>
        <v>maio</v>
      </c>
      <c r="H9">
        <v>27997629765</v>
      </c>
      <c r="I9" t="str">
        <v>Feminino</v>
      </c>
      <c r="K9" t="str">
        <v>Casado(a)</v>
      </c>
      <c r="L9" t="str">
        <v>Gildazio Lima dos Santos</v>
      </c>
      <c r="M9" t="str">
        <v xml:space="preserve">Edilene Ronquetti </v>
      </c>
      <c r="N9" t="str">
        <v>O</v>
      </c>
      <c r="O9" t="str">
        <v>06</v>
      </c>
      <c r="P9" t="str">
        <v>Campo verde</v>
      </c>
      <c r="Q9" t="str">
        <v>Viana</v>
      </c>
      <c r="R9" t="str">
        <v>ES</v>
      </c>
      <c r="S9">
        <v>29138445</v>
      </c>
      <c r="T9" t="str">
        <v>Sim</v>
      </c>
      <c r="U9" t="str">
        <v>Sim</v>
      </c>
      <c r="V9" t="str">
        <v>Ativo</v>
      </c>
      <c r="X9" t="str">
        <v>Não</v>
      </c>
      <c r="Y9" t="str">
        <v>Não</v>
      </c>
      <c r="Z9" t="str">
        <v>18 a 35 anos: Jovem</v>
      </c>
      <c r="AA9" t="str">
        <v>Não</v>
      </c>
      <c r="AB9" t="str">
        <v>Sem Grupo</v>
      </c>
      <c r="AC9" xml:space="preserve">
        <f xml:space="preserve">IFERROR(MATCH(G9,{"Janeiro";"Fevereiro";"Março";"Abril";"Maio";"Junho";"Julho";"Agosto";"Setembro";"Outubro";"Novembro";"Dezembro"},0),"")
</f>
        <v>5</v>
      </c>
      <c r="AD9" t="str">
        <v/>
      </c>
    </row>
    <row r="10" xml:space="preserve">
      <c r="A10">
        <v>45797.860239131944</v>
      </c>
      <c r="B10">
        <v>9</v>
      </c>
      <c r="C10" t="str">
        <f>UPPER(D10)</f>
        <v xml:space="preserve">ANA GABRIELLY ROSA ROCHA </v>
      </c>
      <c r="D10" t="str">
        <v xml:space="preserve">Ana Gabrielly Rosa Rocha </v>
      </c>
      <c r="E10">
        <v>41537</v>
      </c>
      <c r="F10">
        <f>DATEDIF(E10,TODAY(),"Y")</f>
        <v>12</v>
      </c>
      <c r="G10" t="str">
        <f>TEXT(E10,"MMMM")</f>
        <v>setembro</v>
      </c>
      <c r="H10">
        <v>27992456124</v>
      </c>
      <c r="I10" t="str">
        <v>Feminino</v>
      </c>
      <c r="K10" t="str">
        <v>Solteiro(a)</v>
      </c>
      <c r="M10" t="str">
        <v xml:space="preserve">Bruna Lorrani Rocha Mousinho </v>
      </c>
      <c r="N10" t="str">
        <v xml:space="preserve">Ametista </v>
      </c>
      <c r="O10">
        <v>34</v>
      </c>
      <c r="P10" t="str">
        <v xml:space="preserve">São Geraldo </v>
      </c>
      <c r="Q10" t="str">
        <v>Cariacica</v>
      </c>
      <c r="R10" t="str">
        <v>ES</v>
      </c>
      <c r="S10">
        <v>29146677</v>
      </c>
      <c r="T10" t="str">
        <v>Não</v>
      </c>
      <c r="U10" t="str">
        <v>Não</v>
      </c>
      <c r="V10" t="str">
        <v>Desligado</v>
      </c>
      <c r="X10" t="str">
        <v>Não</v>
      </c>
      <c r="Y10" t="str">
        <v>Não</v>
      </c>
      <c r="Z10" t="str">
        <v>11 a 17 anos: Adolescente</v>
      </c>
      <c r="AA10" t="str">
        <v>Não</v>
      </c>
      <c r="AB10" t="str">
        <v>Sem Grupo</v>
      </c>
      <c r="AC10" xml:space="preserve">
        <f xml:space="preserve">IFERROR(MATCH(G10,{"Janeiro";"Fevereiro";"Março";"Abril";"Maio";"Junho";"Julho";"Agosto";"Setembro";"Outubro";"Novembro";"Dezembro"},0),"")
</f>
        <v>9</v>
      </c>
      <c r="AD10" t="str">
        <v/>
      </c>
    </row>
    <row r="11" xml:space="preserve">
      <c r="A11">
        <v>45621.78340049769</v>
      </c>
      <c r="B11">
        <v>10</v>
      </c>
      <c r="C11" t="str">
        <f>UPPER(D11)</f>
        <v xml:space="preserve">ANA LUIZA SOUZA MATOS MOURA </v>
      </c>
      <c r="D11" t="str">
        <v xml:space="preserve">Ana Luiza Souza Matos Moura </v>
      </c>
      <c r="E11">
        <v>41785</v>
      </c>
      <c r="F11">
        <f>DATEDIF(E11,TODAY(),"Y")</f>
        <v>11</v>
      </c>
      <c r="G11" t="str">
        <f>TEXT(E11,"MMMM")</f>
        <v>maio</v>
      </c>
      <c r="H11">
        <v>27997566031</v>
      </c>
      <c r="I11" t="str">
        <v>Feminino</v>
      </c>
      <c r="K11" t="str">
        <v>Solteiro(a)</v>
      </c>
      <c r="M11" t="str">
        <v xml:space="preserve">Bruna Luiza Souza Silva de Jesus </v>
      </c>
      <c r="N11" t="str">
        <v xml:space="preserve">São Benedito </v>
      </c>
      <c r="O11">
        <v>48</v>
      </c>
      <c r="P11" t="str">
        <v xml:space="preserve">Cruzeiro do Sul </v>
      </c>
      <c r="Q11" t="str">
        <v>Cariacica</v>
      </c>
      <c r="R11" t="str">
        <v>ES</v>
      </c>
      <c r="S11">
        <v>29144040</v>
      </c>
      <c r="T11" t="str">
        <v>Sim</v>
      </c>
      <c r="U11" t="str">
        <v>Sim</v>
      </c>
      <c r="V11" t="str">
        <v>Desligado</v>
      </c>
      <c r="W11" t="str">
        <v>Eles estão indo para a Assembleia de Deus. Segundo a Bruna, eles já estavam acostumados lá. O pastor abençoou e liberou todos.</v>
      </c>
      <c r="X11" t="str">
        <v>Não</v>
      </c>
      <c r="Y11" t="str">
        <v>Não</v>
      </c>
      <c r="Z11" t="str">
        <v>7 a 10 anos: Criança</v>
      </c>
      <c r="AA11" t="str">
        <v>Não</v>
      </c>
      <c r="AB11" t="str">
        <v>Sem Grupo</v>
      </c>
      <c r="AC11" xml:space="preserve">
        <f xml:space="preserve">IFERROR(MATCH(G11,{"Janeiro";"Fevereiro";"Março";"Abril";"Maio";"Junho";"Julho";"Agosto";"Setembro";"Outubro";"Novembro";"Dezembro"},0),"")
</f>
        <v>5</v>
      </c>
      <c r="AD11" t="str">
        <v/>
      </c>
    </row>
    <row r="12" xml:space="preserve">
      <c r="A12">
        <v>45614.52275048611</v>
      </c>
      <c r="B12">
        <v>11</v>
      </c>
      <c r="C12" t="str">
        <f>UPPER(D12)</f>
        <v>ANDERSON PRESENZA LIMA</v>
      </c>
      <c r="D12" t="str">
        <v>Anderson Presenza Lima</v>
      </c>
      <c r="E12">
        <v>33173</v>
      </c>
      <c r="F12">
        <f>DATEDIF(E12,TODAY(),"Y")</f>
        <v>35</v>
      </c>
      <c r="G12" t="str">
        <f>TEXT(E12,"MMMM")</f>
        <v>outubro</v>
      </c>
      <c r="H12">
        <v>27997619680</v>
      </c>
      <c r="I12" t="str">
        <v>Masculino</v>
      </c>
      <c r="K12" t="str">
        <v>Casado(a)</v>
      </c>
      <c r="L12" t="str">
        <v xml:space="preserve">Rebeca Arantes Alves Presenza </v>
      </c>
      <c r="N12" t="str">
        <v xml:space="preserve">São João </v>
      </c>
      <c r="O12" t="str">
        <v>38bf</v>
      </c>
      <c r="P12" t="str">
        <v xml:space="preserve">Santo André </v>
      </c>
      <c r="Q12" t="str">
        <v>Cariacica</v>
      </c>
      <c r="R12" t="str">
        <v>ES</v>
      </c>
      <c r="S12">
        <v>29144766</v>
      </c>
      <c r="T12" t="str">
        <v>Sim</v>
      </c>
      <c r="U12" t="str">
        <v>Sim</v>
      </c>
      <c r="V12" t="str">
        <v>Ativo</v>
      </c>
      <c r="X12" t="str">
        <v>Não</v>
      </c>
      <c r="Y12" t="str">
        <v>Não</v>
      </c>
      <c r="Z12" t="str">
        <v>18 a 35 anos: Jovem</v>
      </c>
      <c r="AA12" t="str">
        <v>Não</v>
      </c>
      <c r="AB12" t="str">
        <v>Sem Grupo</v>
      </c>
      <c r="AC12" xml:space="preserve">
        <f xml:space="preserve">IFERROR(MATCH(G12,{"Janeiro";"Fevereiro";"Março";"Abril";"Maio";"Junho";"Julho";"Agosto";"Setembro";"Outubro";"Novembro";"Dezembro"},0),"")
</f>
        <v>10</v>
      </c>
      <c r="AD12" t="str">
        <v/>
      </c>
    </row>
    <row r="13" xml:space="preserve">
      <c r="A13">
        <v>45614.486279363424</v>
      </c>
      <c r="B13">
        <v>12</v>
      </c>
      <c r="C13" t="str">
        <f>UPPER(D13)</f>
        <v xml:space="preserve">ANNY NICOLLY DE SOUZA PAIXAO </v>
      </c>
      <c r="D13" t="str">
        <v xml:space="preserve">Anny Nicolly de Souza Paixao </v>
      </c>
      <c r="E13">
        <v>39536</v>
      </c>
      <c r="F13">
        <f>DATEDIF(E13,TODAY(),"Y")</f>
        <v>17</v>
      </c>
      <c r="G13" t="str">
        <f>TEXT(E13,"MMMM")</f>
        <v>março</v>
      </c>
      <c r="H13">
        <v>27998379768</v>
      </c>
      <c r="I13" t="str">
        <v>Feminino</v>
      </c>
      <c r="K13" t="str">
        <v>Solteiro(a)</v>
      </c>
      <c r="M13" t="str">
        <v xml:space="preserve">Lilian de Souza vieira e Willian de Oliveira Souza </v>
      </c>
      <c r="N13">
        <v>16</v>
      </c>
      <c r="O13">
        <v>141</v>
      </c>
      <c r="P13" t="str">
        <v>Nova Rosa da Penha 1</v>
      </c>
      <c r="Q13" t="str">
        <v>Cariacica</v>
      </c>
      <c r="R13" t="str">
        <v>ES</v>
      </c>
      <c r="S13">
        <v>29157414</v>
      </c>
      <c r="T13" t="str">
        <v>Sim</v>
      </c>
      <c r="U13" t="str">
        <v>Sim</v>
      </c>
      <c r="V13" t="str">
        <v>Ativo</v>
      </c>
      <c r="X13" t="str">
        <v>Não</v>
      </c>
      <c r="Y13" t="str">
        <v>Não</v>
      </c>
      <c r="Z13" t="str">
        <v>11 a 17 anos: Adolescente</v>
      </c>
      <c r="AA13" t="str">
        <v>Não</v>
      </c>
      <c r="AB13" t="str">
        <v>Sem Grupo</v>
      </c>
      <c r="AC13" xml:space="preserve">
        <f xml:space="preserve">IFERROR(MATCH(G13,{"Janeiro";"Fevereiro";"Março";"Abril";"Maio";"Junho";"Julho";"Agosto";"Setembro";"Outubro";"Novembro";"Dezembro"},0),"")
</f>
        <v>3</v>
      </c>
      <c r="AD13" t="str">
        <v/>
      </c>
    </row>
    <row r="14" xml:space="preserve">
      <c r="A14">
        <v>45621.78839113426</v>
      </c>
      <c r="B14">
        <v>13</v>
      </c>
      <c r="C14" t="str">
        <f>UPPER(D14)</f>
        <v xml:space="preserve">ANTONELLA VITÓRIA SOUZA DE JESUS </v>
      </c>
      <c r="D14" t="str">
        <v xml:space="preserve">Antonella vitória Souza de jesus </v>
      </c>
      <c r="E14">
        <v>45438</v>
      </c>
      <c r="F14">
        <f>DATEDIF(E14,TODAY(),"Y")</f>
        <v>1</v>
      </c>
      <c r="G14" t="str">
        <f>TEXT(E14,"MMMM")</f>
        <v>maio</v>
      </c>
      <c r="H14">
        <v>27997566031</v>
      </c>
      <c r="I14" t="str">
        <v>Feminino</v>
      </c>
      <c r="K14" t="str">
        <v>Solteiro(a)</v>
      </c>
      <c r="M14" t="str">
        <v xml:space="preserve">Bruna Luiza Souza Silva de Jesus </v>
      </c>
      <c r="N14" t="str">
        <v xml:space="preserve">São Benedito </v>
      </c>
      <c r="O14">
        <v>48</v>
      </c>
      <c r="P14" t="str">
        <v xml:space="preserve">Cruzeiro do Sul </v>
      </c>
      <c r="Q14" t="str">
        <v>Cariacica</v>
      </c>
      <c r="R14" t="str">
        <v>ES</v>
      </c>
      <c r="S14">
        <v>29144040</v>
      </c>
      <c r="T14" t="str">
        <v>Não</v>
      </c>
      <c r="U14" t="str">
        <v>Não</v>
      </c>
      <c r="V14" t="str">
        <v>Desligado</v>
      </c>
      <c r="W14" t="str">
        <v>Eles estão indo para a Assembleia de Deus. Segundo a Bruna, eles já estavam acostumados lá. O pastor abençoou e liberou todos.</v>
      </c>
      <c r="X14" t="str">
        <v>Não</v>
      </c>
      <c r="Y14" t="str">
        <v>Não</v>
      </c>
      <c r="Z14" t="str">
        <v>0 a 6 anos: Infância</v>
      </c>
      <c r="AA14" t="str">
        <v>Não</v>
      </c>
      <c r="AB14" t="str">
        <v>Sem Grupo</v>
      </c>
      <c r="AC14" xml:space="preserve">
        <f xml:space="preserve">IFERROR(MATCH(G14,{"Janeiro";"Fevereiro";"Março";"Abril";"Maio";"Junho";"Julho";"Agosto";"Setembro";"Outubro";"Novembro";"Dezembro"},0),"")
</f>
        <v>5</v>
      </c>
      <c r="AD14" t="str">
        <v/>
      </c>
    </row>
    <row r="15" xml:space="preserve">
      <c r="A15">
        <v>45617.61088934028</v>
      </c>
      <c r="B15">
        <v>14</v>
      </c>
      <c r="C15" t="str">
        <f>UPPER(D15)</f>
        <v xml:space="preserve">ANTÔNIO FRANCISCO DO NASCIMENTO </v>
      </c>
      <c r="D15" t="str">
        <v xml:space="preserve">Antônio Francisco do Nascimento </v>
      </c>
      <c r="E15">
        <v>19082</v>
      </c>
      <c r="F15">
        <f>DATEDIF(E15,TODAY(),"Y")</f>
        <v>73</v>
      </c>
      <c r="G15" t="str">
        <f>TEXT(E15,"MMMM")</f>
        <v>março</v>
      </c>
      <c r="H15">
        <v>27999441318</v>
      </c>
      <c r="I15" t="str">
        <v>Masculino</v>
      </c>
      <c r="K15" t="str">
        <v>Casado(a)</v>
      </c>
      <c r="L15" t="str">
        <v>Terezinha Fontes</v>
      </c>
      <c r="N15" t="str">
        <v>Esmeralda</v>
      </c>
      <c r="O15">
        <v>159</v>
      </c>
      <c r="P15" t="str">
        <v>São Geraldo 1</v>
      </c>
      <c r="Q15" t="str">
        <v>Cariacica</v>
      </c>
      <c r="R15" t="str">
        <v>ES</v>
      </c>
      <c r="S15">
        <v>29146675</v>
      </c>
      <c r="T15" t="str">
        <v>Sim</v>
      </c>
      <c r="U15" t="str">
        <v>Sim</v>
      </c>
      <c r="V15" t="str">
        <v>Ativo</v>
      </c>
      <c r="X15" t="str">
        <v>Não</v>
      </c>
      <c r="Y15" t="str">
        <v>Não</v>
      </c>
      <c r="Z15" t="str">
        <v>60+ anos</v>
      </c>
      <c r="AA15" t="str">
        <v>Não</v>
      </c>
      <c r="AB15" t="str">
        <v>Sem Grupo</v>
      </c>
      <c r="AC15" xml:space="preserve">
        <f xml:space="preserve">IFERROR(MATCH(G15,{"Janeiro";"Fevereiro";"Março";"Abril";"Maio";"Junho";"Julho";"Agosto";"Setembro";"Outubro";"Novembro";"Dezembro"},0),"")
</f>
        <v>3</v>
      </c>
      <c r="AD15" t="str">
        <v/>
      </c>
    </row>
    <row r="16" xml:space="preserve">
      <c r="A16">
        <v>45613.503949942125</v>
      </c>
      <c r="B16">
        <v>15</v>
      </c>
      <c r="C16" t="str">
        <f>UPPER(D16)</f>
        <v>AYRTON COSTA DE ALMEIDA</v>
      </c>
      <c r="D16" t="str">
        <v>Ayrton Costa de Almeida</v>
      </c>
      <c r="E16">
        <v>34576</v>
      </c>
      <c r="F16">
        <f>DATEDIF(E16,TODAY(),"Y")</f>
        <v>31</v>
      </c>
      <c r="G16" t="str">
        <f>TEXT(E16,"MMMM")</f>
        <v>agosto</v>
      </c>
      <c r="H16">
        <v>27997665900</v>
      </c>
      <c r="I16" t="str">
        <v>Masculino</v>
      </c>
      <c r="K16" t="str">
        <v>Casado(a)</v>
      </c>
      <c r="L16" t="str">
        <v>Veruska Pinto Mouzinho Almeida</v>
      </c>
      <c r="N16" t="str">
        <v xml:space="preserve">Otávio Cardoso de Alcântara </v>
      </c>
      <c r="O16">
        <v>40</v>
      </c>
      <c r="P16" t="str">
        <v>Santa Fe</v>
      </c>
      <c r="Q16" t="str">
        <v>Cariacica</v>
      </c>
      <c r="R16" t="str">
        <v>ES</v>
      </c>
      <c r="S16">
        <v>29143650</v>
      </c>
      <c r="T16" t="str">
        <v>Sim</v>
      </c>
      <c r="U16" t="str">
        <v>Sim</v>
      </c>
      <c r="V16" t="str">
        <v>Ativo</v>
      </c>
      <c r="X16" t="str">
        <v>Sim</v>
      </c>
      <c r="Y16" t="str">
        <v>Sim</v>
      </c>
      <c r="Z16" t="str">
        <v>18 a 35 anos: Jovem</v>
      </c>
      <c r="AA16" t="str">
        <v>Não</v>
      </c>
      <c r="AB16" t="str">
        <v>Sem Grupo</v>
      </c>
      <c r="AC16" xml:space="preserve">
        <f xml:space="preserve">IFERROR(MATCH(G16,{"Janeiro";"Fevereiro";"Março";"Abril";"Maio";"Junho";"Julho";"Agosto";"Setembro";"Outubro";"Novembro";"Dezembro"},0),"")
</f>
        <v>8</v>
      </c>
      <c r="AD16" t="str">
        <v/>
      </c>
    </row>
    <row r="17" xml:space="preserve">
      <c r="A17">
        <v>45621.45112268518</v>
      </c>
      <c r="B17">
        <v>16</v>
      </c>
      <c r="C17" t="str">
        <f>UPPER(D17)</f>
        <v>BENÍCIO ALVES NASCIMENTO</v>
      </c>
      <c r="D17" t="str">
        <v>Benício Alves Nascimento</v>
      </c>
      <c r="E17">
        <v>45118</v>
      </c>
      <c r="F17">
        <f>DATEDIF(E17,TODAY(),"Y")</f>
        <v>2</v>
      </c>
      <c r="G17" t="str">
        <f>TEXT(E17,"MMMM")</f>
        <v>julho</v>
      </c>
      <c r="H17">
        <v>27995310232</v>
      </c>
      <c r="I17" t="str">
        <v>Masculino</v>
      </c>
      <c r="J17" t="str">
        <v>apt 302</v>
      </c>
      <c r="K17" t="str">
        <v>Solteiro(a)</v>
      </c>
      <c r="M17" t="str">
        <v>Miria Alves da Silva Nascimento</v>
      </c>
      <c r="N17" t="str">
        <v>Ametista</v>
      </c>
      <c r="O17">
        <v>25</v>
      </c>
      <c r="P17" t="str">
        <v>São Geraldo 1</v>
      </c>
      <c r="Q17" t="str">
        <v>Cariacica</v>
      </c>
      <c r="R17" t="str">
        <v>ES</v>
      </c>
      <c r="S17" t="str">
        <v>29146-680</v>
      </c>
      <c r="T17" t="str">
        <v>Não</v>
      </c>
      <c r="U17" t="str">
        <v>Não</v>
      </c>
      <c r="V17" t="str">
        <v>Ativo</v>
      </c>
      <c r="X17" t="str">
        <v>Não</v>
      </c>
      <c r="Y17" t="str">
        <v>Não</v>
      </c>
      <c r="Z17" t="str">
        <v>0 a 6 anos: Infância</v>
      </c>
      <c r="AA17" t="str">
        <v>Não</v>
      </c>
      <c r="AB17" t="str">
        <v>Sem Grupo</v>
      </c>
      <c r="AC17" xml:space="preserve">
        <f xml:space="preserve">IFERROR(MATCH(G17,{"Janeiro";"Fevereiro";"Março";"Abril";"Maio";"Junho";"Julho";"Agosto";"Setembro";"Outubro";"Novembro";"Dezembro"},0),"")
</f>
        <v>7</v>
      </c>
      <c r="AD17" t="str">
        <v/>
      </c>
    </row>
    <row r="18" xml:space="preserve">
      <c r="A18">
        <v>45614.60220650463</v>
      </c>
      <c r="B18">
        <v>17</v>
      </c>
      <c r="C18" t="str">
        <f>UPPER(D18)</f>
        <v xml:space="preserve">BENTO HONORI DONDONI </v>
      </c>
      <c r="D18" t="str">
        <v xml:space="preserve">Bento Honori Dondoni </v>
      </c>
      <c r="E18">
        <v>45316</v>
      </c>
      <c r="F18">
        <f>DATEDIF(E18,TODAY(),"Y")</f>
        <v>1</v>
      </c>
      <c r="G18" t="str">
        <f>TEXT(E18,"MMMM")</f>
        <v>janeiro</v>
      </c>
      <c r="H18">
        <v>27998072540</v>
      </c>
      <c r="I18" t="str">
        <v>Masculino</v>
      </c>
      <c r="K18" t="str">
        <v>Solteiro(a)</v>
      </c>
      <c r="M18" t="str">
        <v>Thamyres Coelho e Gabriel Dondoni</v>
      </c>
      <c r="N18" t="str">
        <v xml:space="preserve">Guarapari </v>
      </c>
      <c r="O18">
        <v>19</v>
      </c>
      <c r="P18" t="str">
        <v xml:space="preserve">Vista Dourada </v>
      </c>
      <c r="Q18" t="str">
        <v>Cariacica</v>
      </c>
      <c r="R18" t="str">
        <v>ES</v>
      </c>
      <c r="S18">
        <v>29158652</v>
      </c>
      <c r="T18" t="str">
        <v>Não</v>
      </c>
      <c r="U18" t="str">
        <v>Não</v>
      </c>
      <c r="V18" t="str">
        <v>Desligado</v>
      </c>
      <c r="W18" t="str">
        <v>Pedido de desligamento no dia 08/12/2025 às 15:54</v>
      </c>
      <c r="X18" t="str">
        <v>Não</v>
      </c>
      <c r="Y18" t="str">
        <v>Não</v>
      </c>
      <c r="Z18" t="str">
        <v>0 a 6 anos: Infância</v>
      </c>
      <c r="AA18" t="str">
        <v>Não</v>
      </c>
      <c r="AB18" t="str">
        <v>Sem Grupo</v>
      </c>
      <c r="AC18" xml:space="preserve">
        <f xml:space="preserve">IFERROR(MATCH(G18,{"Janeiro";"Fevereiro";"Março";"Abril";"Maio";"Junho";"Julho";"Agosto";"Setembro";"Outubro";"Novembro";"Dezembro"},0),"")
</f>
        <v>1</v>
      </c>
      <c r="AD18" t="str">
        <v/>
      </c>
    </row>
    <row r="19" xml:space="preserve">
      <c r="A19">
        <v>45614.45331916667</v>
      </c>
      <c r="B19">
        <v>18</v>
      </c>
      <c r="C19" t="str">
        <f>UPPER(D19)</f>
        <v xml:space="preserve">BERNARDO TAVARES PEREIRA </v>
      </c>
      <c r="D19" t="str">
        <v xml:space="preserve">Bernardo Tavares Pereira </v>
      </c>
      <c r="E19">
        <v>37860</v>
      </c>
      <c r="F19">
        <f>DATEDIF(E19,TODAY(),"Y")</f>
        <v>22</v>
      </c>
      <c r="G19" t="str">
        <f>TEXT(E19,"MMMM")</f>
        <v>agosto</v>
      </c>
      <c r="H19">
        <v>27996952399</v>
      </c>
      <c r="I19" t="str">
        <v>Masculino</v>
      </c>
      <c r="K19" t="str">
        <v>Solteiro(a)</v>
      </c>
      <c r="N19" t="str">
        <v xml:space="preserve">Monte Calvário </v>
      </c>
      <c r="O19">
        <v>3</v>
      </c>
      <c r="P19" t="str">
        <v xml:space="preserve">Vila Palestina </v>
      </c>
      <c r="Q19" t="str">
        <v>Cariacica</v>
      </c>
      <c r="R19" t="str">
        <v>ES</v>
      </c>
      <c r="S19" t="str">
        <v>29145-760</v>
      </c>
      <c r="T19" t="str">
        <v>Sim</v>
      </c>
      <c r="U19" t="str">
        <v>Sim</v>
      </c>
      <c r="V19" t="str">
        <v>Ativo</v>
      </c>
      <c r="X19" t="str">
        <v>Não</v>
      </c>
      <c r="Y19" t="str">
        <v>Não</v>
      </c>
      <c r="Z19" t="str">
        <v>18 a 35 anos: Jovem</v>
      </c>
      <c r="AA19" t="str">
        <v>Não</v>
      </c>
      <c r="AB19" t="str">
        <v>Sem Grupo</v>
      </c>
      <c r="AC19" xml:space="preserve">
        <f xml:space="preserve">IFERROR(MATCH(G19,{"Janeiro";"Fevereiro";"Março";"Abril";"Maio";"Junho";"Julho";"Agosto";"Setembro";"Outubro";"Novembro";"Dezembro"},0),"")
</f>
        <v>8</v>
      </c>
      <c r="AD19" t="str">
        <v/>
      </c>
    </row>
    <row r="20" xml:space="preserve">
      <c r="A20">
        <v>45613.89394368055</v>
      </c>
      <c r="B20">
        <v>19</v>
      </c>
      <c r="C20" t="str">
        <f>UPPER(D20)</f>
        <v xml:space="preserve">BRUNA LORRANI ROCHA MOUSINHO VIANA </v>
      </c>
      <c r="D20" t="str">
        <v xml:space="preserve">Bruna Lorrani Rocha Mousinho Viana </v>
      </c>
      <c r="E20">
        <v>35940</v>
      </c>
      <c r="F20">
        <f>DATEDIF(E20,TODAY(),"Y")</f>
        <v>27</v>
      </c>
      <c r="G20" t="str">
        <f>TEXT(E20,"MMMM")</f>
        <v>maio</v>
      </c>
      <c r="H20">
        <v>27988105762</v>
      </c>
      <c r="I20" t="str">
        <v>Feminino</v>
      </c>
      <c r="K20" t="str">
        <v>Casado(a)</v>
      </c>
      <c r="L20" t="str">
        <v xml:space="preserve">Guilherme dos Passos Siqueira Viana </v>
      </c>
      <c r="N20" t="str">
        <v xml:space="preserve">Ametista </v>
      </c>
      <c r="O20">
        <v>34</v>
      </c>
      <c r="P20" t="str">
        <v>São Geraldo 1</v>
      </c>
      <c r="Q20" t="str">
        <v>Cariacica</v>
      </c>
      <c r="R20" t="str">
        <v>ES</v>
      </c>
      <c r="S20">
        <v>29146677</v>
      </c>
      <c r="T20" t="str">
        <v>Sim</v>
      </c>
      <c r="U20" t="str">
        <v>Sim</v>
      </c>
      <c r="V20" t="str">
        <v>Ativo</v>
      </c>
      <c r="X20" t="str">
        <v>Não</v>
      </c>
      <c r="Y20" t="str">
        <v>Não</v>
      </c>
      <c r="Z20" t="str">
        <v>18 a 35 anos: Jovem</v>
      </c>
      <c r="AA20" t="str">
        <v>Não</v>
      </c>
      <c r="AB20" t="str">
        <v>Sem Grupo</v>
      </c>
      <c r="AC20" xml:space="preserve">
        <f xml:space="preserve">IFERROR(MATCH(G20,{"Janeiro";"Fevereiro";"Março";"Abril";"Maio";"Junho";"Julho";"Agosto";"Setembro";"Outubro";"Novembro";"Dezembro"},0),"")
</f>
        <v>5</v>
      </c>
      <c r="AD20" t="str">
        <v/>
      </c>
    </row>
    <row r="21" xml:space="preserve">
      <c r="A21">
        <v>45621.77928052083</v>
      </c>
      <c r="B21">
        <v>20</v>
      </c>
      <c r="C21" t="str">
        <f>UPPER(D21)</f>
        <v xml:space="preserve">BRUNA LUIZA SOUZA SILVA DE JESUS </v>
      </c>
      <c r="D21" t="str">
        <v xml:space="preserve">Bruna Luiza Souza Silva de Jesus </v>
      </c>
      <c r="E21">
        <v>30114</v>
      </c>
      <c r="F21">
        <f>DATEDIF(E21,TODAY(),"Y")</f>
        <v>43</v>
      </c>
      <c r="G21" t="str">
        <f>TEXT(E21,"MMMM")</f>
        <v>junho</v>
      </c>
      <c r="H21">
        <v>27997566031</v>
      </c>
      <c r="I21" t="str">
        <v>Feminino</v>
      </c>
      <c r="K21" t="str">
        <v>Casado(a)</v>
      </c>
      <c r="L21" t="str">
        <v xml:space="preserve">Edilson Azevedo de Jesus </v>
      </c>
      <c r="N21" t="str">
        <v xml:space="preserve">São Benedito </v>
      </c>
      <c r="O21">
        <v>48</v>
      </c>
      <c r="P21" t="str">
        <v xml:space="preserve">Cruzeiro do Sul </v>
      </c>
      <c r="Q21" t="str">
        <v>Cariacica</v>
      </c>
      <c r="R21" t="str">
        <v>ES</v>
      </c>
      <c r="S21">
        <v>29144040</v>
      </c>
      <c r="T21" t="str">
        <v>Sim</v>
      </c>
      <c r="U21" t="str">
        <v>Sim</v>
      </c>
      <c r="V21" t="str">
        <v>Desligado</v>
      </c>
      <c r="W21" t="str">
        <v>Eles estão indo para a Assembleia de Deus. Segundo a Bruna, eles já estavam acostumados lá. O pastor abençoou e liberou todos.</v>
      </c>
      <c r="X21" t="str">
        <v>Não</v>
      </c>
      <c r="Y21" t="str">
        <v>Não</v>
      </c>
      <c r="Z21" t="str">
        <v>36 a 59 anos: Adulto</v>
      </c>
      <c r="AA21" t="str">
        <v>Não</v>
      </c>
      <c r="AB21" t="str">
        <v>Sem Grupo</v>
      </c>
      <c r="AC21" xml:space="preserve">
        <f xml:space="preserve">IFERROR(MATCH(G21,{"Janeiro";"Fevereiro";"Março";"Abril";"Maio";"Junho";"Julho";"Agosto";"Setembro";"Outubro";"Novembro";"Dezembro"},0),"")
</f>
        <v>6</v>
      </c>
      <c r="AD21" t="str">
        <v/>
      </c>
    </row>
    <row r="22" xml:space="preserve">
      <c r="A22">
        <v>45619.50930085648</v>
      </c>
      <c r="B22">
        <v>21</v>
      </c>
      <c r="C22" t="str">
        <f>UPPER(D22)</f>
        <v xml:space="preserve">BRUNA WILL MONTEIRO COSTA DIAS </v>
      </c>
      <c r="D22" t="str">
        <v xml:space="preserve">Bruna Will monteiro costa dias </v>
      </c>
      <c r="E22">
        <v>31925</v>
      </c>
      <c r="F22">
        <f>DATEDIF(E22,TODAY(),"Y")</f>
        <v>38</v>
      </c>
      <c r="G22" t="str">
        <f>TEXT(E22,"MMMM")</f>
        <v>maio</v>
      </c>
      <c r="H22">
        <v>27998361927</v>
      </c>
      <c r="I22" t="str">
        <v>Feminino</v>
      </c>
      <c r="K22" t="str">
        <v>Casado(a)</v>
      </c>
      <c r="L22" t="str">
        <v>SIDNEI NOGUEIRA DIAS</v>
      </c>
      <c r="N22" t="str">
        <v>Abílio pontini</v>
      </c>
      <c r="O22">
        <v>145</v>
      </c>
      <c r="P22" t="str">
        <v>São Geraldo 2</v>
      </c>
      <c r="Q22" t="str">
        <v>Cariacica</v>
      </c>
      <c r="R22" t="str">
        <v>ES</v>
      </c>
      <c r="S22">
        <v>29146805</v>
      </c>
      <c r="T22" t="str">
        <v>Sim</v>
      </c>
      <c r="U22" t="str">
        <v>Sim</v>
      </c>
      <c r="V22" t="str">
        <v>Ativo</v>
      </c>
      <c r="X22" t="str">
        <v>Não</v>
      </c>
      <c r="Y22" t="str">
        <v>Não</v>
      </c>
      <c r="Z22" t="str">
        <v>36 a 59 anos: Adulto</v>
      </c>
      <c r="AA22" t="str">
        <v>Não</v>
      </c>
      <c r="AB22" t="str">
        <v>Sem Grupo</v>
      </c>
      <c r="AC22" xml:space="preserve">
        <f xml:space="preserve">IFERROR(MATCH(G22,{"Janeiro";"Fevereiro";"Março";"Abril";"Maio";"Junho";"Julho";"Agosto";"Setembro";"Outubro";"Novembro";"Dezembro"},0),"")
</f>
        <v>5</v>
      </c>
      <c r="AD22" t="str">
        <v/>
      </c>
    </row>
    <row r="23" xml:space="preserve">
      <c r="A23">
        <v>45614.70245378472</v>
      </c>
      <c r="B23">
        <v>22</v>
      </c>
      <c r="C23" t="str">
        <f>UPPER(D23)</f>
        <v>CARLOS WEBERSON DE SOUSA</v>
      </c>
      <c r="D23" t="str">
        <v>CARLOS WEBERSON DE SOUSA</v>
      </c>
      <c r="E23">
        <v>26195</v>
      </c>
      <c r="F23">
        <f>DATEDIF(E23,TODAY(),"Y")</f>
        <v>54</v>
      </c>
      <c r="G23" t="str">
        <f>TEXT(E23,"MMMM")</f>
        <v>setembro</v>
      </c>
      <c r="H23">
        <v>27999470220</v>
      </c>
      <c r="I23" t="str">
        <v>Masculino</v>
      </c>
      <c r="K23" t="str">
        <v>Casado(a)</v>
      </c>
      <c r="L23" t="str">
        <v>ADELIDIA DE AZEVEDO CRUZ</v>
      </c>
      <c r="N23" t="str">
        <v>BOM PASTOR</v>
      </c>
      <c r="O23">
        <v>39</v>
      </c>
      <c r="P23" t="str">
        <v>Campo Grande</v>
      </c>
      <c r="Q23" t="str">
        <v>Cariacica</v>
      </c>
      <c r="R23" t="str">
        <v>ES</v>
      </c>
      <c r="S23">
        <v>29146060</v>
      </c>
      <c r="T23" t="str">
        <v>Sim</v>
      </c>
      <c r="U23" t="str">
        <v>Sim</v>
      </c>
      <c r="V23" t="str">
        <v>Ativo</v>
      </c>
      <c r="X23" t="str">
        <v>Sim</v>
      </c>
      <c r="Y23" t="str">
        <v>Sim</v>
      </c>
      <c r="Z23" t="str">
        <v>36 a 59 anos: Adulto</v>
      </c>
      <c r="AA23" t="str">
        <v>Não</v>
      </c>
      <c r="AB23" t="str">
        <v>Sem Grupo</v>
      </c>
      <c r="AC23" xml:space="preserve">
        <f xml:space="preserve">IFERROR(MATCH(G23,{"Janeiro";"Fevereiro";"Março";"Abril";"Maio";"Junho";"Julho";"Agosto";"Setembro";"Outubro";"Novembro";"Dezembro"},0),"")
</f>
        <v>9</v>
      </c>
      <c r="AD23" t="str">
        <v/>
      </c>
    </row>
    <row r="24" xml:space="preserve">
      <c r="A24">
        <v>45614.71106722222</v>
      </c>
      <c r="B24">
        <v>23</v>
      </c>
      <c r="C24" t="str">
        <f>UPPER(D24)</f>
        <v xml:space="preserve">CECÍLIA DE ANDRADE PEREIRA </v>
      </c>
      <c r="D24" t="str">
        <v xml:space="preserve">Cecília de Andrade Pereira </v>
      </c>
      <c r="E24">
        <v>43880</v>
      </c>
      <c r="F24">
        <f>DATEDIF(E24,TODAY(),"Y")</f>
        <v>5</v>
      </c>
      <c r="G24" t="str">
        <f>TEXT(E24,"MMMM")</f>
        <v>fevereiro</v>
      </c>
      <c r="H24">
        <v>27999632279</v>
      </c>
      <c r="I24" t="str">
        <v>Feminino</v>
      </c>
      <c r="K24" t="str">
        <v>Solteiro(a)</v>
      </c>
      <c r="M24" t="str">
        <v>Crislayne (Mãe) Christian (Pai)</v>
      </c>
      <c r="N24" t="str">
        <v xml:space="preserve">Pavão </v>
      </c>
      <c r="O24">
        <v>27</v>
      </c>
      <c r="P24" t="str">
        <v xml:space="preserve">São Conrado </v>
      </c>
      <c r="Q24" t="str">
        <v>Cariacica</v>
      </c>
      <c r="R24" t="str">
        <v>ES</v>
      </c>
      <c r="S24">
        <v>29141195</v>
      </c>
      <c r="T24" t="str">
        <v>Não</v>
      </c>
      <c r="U24" t="str">
        <v>Não</v>
      </c>
      <c r="V24" t="str">
        <v>Ativo</v>
      </c>
      <c r="X24" t="str">
        <v>Não</v>
      </c>
      <c r="Y24" t="str">
        <v>Não</v>
      </c>
      <c r="Z24" t="str">
        <v>0 a 6 anos: Infância</v>
      </c>
      <c r="AA24" t="str">
        <v>Não</v>
      </c>
      <c r="AB24" t="str">
        <v>Sem Grupo</v>
      </c>
      <c r="AC24" xml:space="preserve">
        <f xml:space="preserve">IFERROR(MATCH(G24,{"Janeiro";"Fevereiro";"Março";"Abril";"Maio";"Junho";"Julho";"Agosto";"Setembro";"Outubro";"Novembro";"Dezembro"},0),"")
</f>
        <v>2</v>
      </c>
      <c r="AD24" t="str">
        <v/>
      </c>
    </row>
    <row r="25" xml:space="preserve">
      <c r="A25">
        <v>45614.4777312963</v>
      </c>
      <c r="B25">
        <v>24</v>
      </c>
      <c r="C25" t="str">
        <f>UPPER(D25)</f>
        <v>CHRISTIAN DA SILVA PEREIRA</v>
      </c>
      <c r="D25" t="str">
        <v>Christian da Silva Pereira</v>
      </c>
      <c r="E25">
        <v>35881</v>
      </c>
      <c r="F25">
        <f>DATEDIF(E25,TODAY(),"Y")</f>
        <v>27</v>
      </c>
      <c r="G25" t="str">
        <f>TEXT(E25,"MMMM")</f>
        <v>março</v>
      </c>
      <c r="H25">
        <v>27998114127</v>
      </c>
      <c r="I25" t="str">
        <v>Masculino</v>
      </c>
      <c r="K25" t="str">
        <v>Casado(a)</v>
      </c>
      <c r="L25" t="str">
        <v>Crislayne Pereira</v>
      </c>
      <c r="N25" t="str">
        <v xml:space="preserve">Pavão </v>
      </c>
      <c r="O25">
        <v>27</v>
      </c>
      <c r="P25" t="str">
        <v xml:space="preserve">São Conrado </v>
      </c>
      <c r="Q25" t="str">
        <v>Cariacica</v>
      </c>
      <c r="R25" t="str">
        <v>ES</v>
      </c>
      <c r="S25">
        <v>29141195</v>
      </c>
      <c r="T25" t="str">
        <v>Sim</v>
      </c>
      <c r="U25" t="str">
        <v>Sim</v>
      </c>
      <c r="V25" t="str">
        <v>Ativo</v>
      </c>
      <c r="X25" t="str">
        <v>Sim</v>
      </c>
      <c r="Y25" t="str">
        <v>Não</v>
      </c>
      <c r="Z25" t="str">
        <v>18 a 35 anos: Jovem</v>
      </c>
      <c r="AA25" t="str">
        <v>Não</v>
      </c>
      <c r="AB25" t="str">
        <v>Sem Grupo</v>
      </c>
      <c r="AC25" xml:space="preserve">
        <f xml:space="preserve">IFERROR(MATCH(G25,{"Janeiro";"Fevereiro";"Março";"Abril";"Maio";"Junho";"Julho";"Agosto";"Setembro";"Outubro";"Novembro";"Dezembro"},0),"")
</f>
        <v>3</v>
      </c>
      <c r="AD25" t="str">
        <v/>
      </c>
    </row>
    <row r="26" xml:space="preserve">
      <c r="A26">
        <v>45614.71469108797</v>
      </c>
      <c r="B26">
        <v>25</v>
      </c>
      <c r="C26" t="str">
        <f>UPPER(D26)</f>
        <v xml:space="preserve">CHRISTOFER DE ANDRADE PEREIRA </v>
      </c>
      <c r="D26" t="str">
        <v xml:space="preserve">Christofer de Andrade Pereira </v>
      </c>
      <c r="E26">
        <v>44704</v>
      </c>
      <c r="F26">
        <f>DATEDIF(E26,TODAY(),"Y")</f>
        <v>3</v>
      </c>
      <c r="G26" t="str">
        <f>TEXT(E26,"MMMM")</f>
        <v>maio</v>
      </c>
      <c r="H26">
        <v>27998114127</v>
      </c>
      <c r="I26" t="str">
        <v>Masculino</v>
      </c>
      <c r="K26" t="str">
        <v>Solteiro(a)</v>
      </c>
      <c r="M26" t="str">
        <v>Christian (Pai) Crislayne (Mãe)</v>
      </c>
      <c r="N26" t="str">
        <v xml:space="preserve">Pavão </v>
      </c>
      <c r="O26">
        <v>27</v>
      </c>
      <c r="P26" t="str">
        <v xml:space="preserve">São Conrado </v>
      </c>
      <c r="Q26" t="str">
        <v>Cariacica</v>
      </c>
      <c r="R26" t="str">
        <v>ES</v>
      </c>
      <c r="S26">
        <v>29141195</v>
      </c>
      <c r="T26" t="str">
        <v>Não</v>
      </c>
      <c r="U26" t="str">
        <v>Não</v>
      </c>
      <c r="V26" t="str">
        <v>Ativo</v>
      </c>
      <c r="X26" t="str">
        <v>Não</v>
      </c>
      <c r="Y26" t="str">
        <v>Não</v>
      </c>
      <c r="Z26" t="str">
        <v>0 a 6 anos: Infância</v>
      </c>
      <c r="AA26" t="str">
        <v>Não</v>
      </c>
      <c r="AB26" t="str">
        <v>Sem Grupo</v>
      </c>
      <c r="AC26" xml:space="preserve">
        <f xml:space="preserve">IFERROR(MATCH(G26,{"Janeiro";"Fevereiro";"Março";"Abril";"Maio";"Junho";"Julho";"Agosto";"Setembro";"Outubro";"Novembro";"Dezembro"},0),"")
</f>
        <v>5</v>
      </c>
      <c r="AD26" t="str">
        <v/>
      </c>
    </row>
    <row r="27" xml:space="preserve">
      <c r="A27">
        <v>45614.721258460646</v>
      </c>
      <c r="B27">
        <v>26</v>
      </c>
      <c r="C27" t="str">
        <f>UPPER(D27)</f>
        <v>CHRISTOPHER ASAFE CRUZ DE SOUSA</v>
      </c>
      <c r="D27" t="str">
        <v>CHRISTOPHER ASAFE CRUZ DE SOUSA</v>
      </c>
      <c r="E27">
        <v>40567</v>
      </c>
      <c r="F27">
        <f>DATEDIF(E27,TODAY(),"Y")</f>
        <v>14</v>
      </c>
      <c r="G27" t="str">
        <f>TEXT(E27,"MMMM")</f>
        <v>janeiro</v>
      </c>
      <c r="H27">
        <v>27996449579</v>
      </c>
      <c r="I27" t="str">
        <v>Masculino</v>
      </c>
      <c r="K27" t="str">
        <v>Solteiro(a)</v>
      </c>
      <c r="M27" t="str">
        <v xml:space="preserve">ADELIDIA DE AZEVEDO CRUZ </v>
      </c>
      <c r="N27" t="str">
        <v xml:space="preserve">BOM PASTOR </v>
      </c>
      <c r="O27">
        <v>39</v>
      </c>
      <c r="P27" t="str">
        <v>Campo Grande</v>
      </c>
      <c r="Q27" t="str">
        <v>Cariacica</v>
      </c>
      <c r="R27" t="str">
        <v>ES</v>
      </c>
      <c r="S27" t="str">
        <v>29146-060</v>
      </c>
      <c r="T27" t="str">
        <v>Sim</v>
      </c>
      <c r="U27" t="str">
        <v>Sim</v>
      </c>
      <c r="V27" t="str">
        <v>Ativo</v>
      </c>
      <c r="X27" t="str">
        <v>Não</v>
      </c>
      <c r="Y27" t="str">
        <v>Não</v>
      </c>
      <c r="Z27" t="str">
        <v>11 a 17 anos: Adolescente</v>
      </c>
      <c r="AA27" t="str">
        <v>Não</v>
      </c>
      <c r="AB27" t="str">
        <v>Sem Grupo</v>
      </c>
      <c r="AC27" xml:space="preserve">
        <f xml:space="preserve">IFERROR(MATCH(G27,{"Janeiro";"Fevereiro";"Março";"Abril";"Maio";"Junho";"Julho";"Agosto";"Setembro";"Outubro";"Novembro";"Dezembro"},0),"")
</f>
        <v>1</v>
      </c>
      <c r="AD27" t="str">
        <v/>
      </c>
    </row>
    <row r="28" xml:space="preserve">
      <c r="A28">
        <v>45614.55103306713</v>
      </c>
      <c r="B28">
        <v>27</v>
      </c>
      <c r="C28" t="str">
        <f>UPPER(D28)</f>
        <v xml:space="preserve">CLEBER DE JESUS SEPULCRO </v>
      </c>
      <c r="D28" t="str">
        <v xml:space="preserve">Cleber de jesus Sepulcro </v>
      </c>
      <c r="E28">
        <v>28636</v>
      </c>
      <c r="F28">
        <f>DATEDIF(E28,TODAY(),"Y")</f>
        <v>47</v>
      </c>
      <c r="G28" t="str">
        <f>TEXT(E28,"MMMM")</f>
        <v>maio</v>
      </c>
      <c r="H28">
        <v>27998519473</v>
      </c>
      <c r="I28" t="str">
        <v>Masculino</v>
      </c>
      <c r="K28" t="str">
        <v>Casado(a)</v>
      </c>
      <c r="L28" t="str">
        <v xml:space="preserve">Rina Mendonça Gomes </v>
      </c>
      <c r="N28" t="str">
        <v xml:space="preserve">Claricio Alves Ribeiro </v>
      </c>
      <c r="O28">
        <v>100</v>
      </c>
      <c r="P28" t="str">
        <v xml:space="preserve">Itanguá </v>
      </c>
      <c r="Q28" t="str">
        <v>Cariacica</v>
      </c>
      <c r="R28" t="str">
        <v>ES</v>
      </c>
      <c r="S28">
        <v>29149800</v>
      </c>
      <c r="T28" t="str">
        <v>Sim</v>
      </c>
      <c r="U28" t="str">
        <v>Sim</v>
      </c>
      <c r="V28" t="str">
        <v>Ativo</v>
      </c>
      <c r="X28" t="str">
        <v>Não</v>
      </c>
      <c r="Y28" t="str">
        <v>Não</v>
      </c>
      <c r="Z28" t="str">
        <v>36 a 59 anos: Adulto</v>
      </c>
      <c r="AA28" t="str">
        <v>Não</v>
      </c>
      <c r="AB28" t="str">
        <v>Sem Grupo</v>
      </c>
      <c r="AC28" xml:space="preserve">
        <f xml:space="preserve">IFERROR(MATCH(G28,{"Janeiro";"Fevereiro";"Março";"Abril";"Maio";"Junho";"Julho";"Agosto";"Setembro";"Outubro";"Novembro";"Dezembro"},0),"")
</f>
        <v>5</v>
      </c>
      <c r="AD28" t="str">
        <v/>
      </c>
    </row>
    <row r="29" xml:space="preserve">
      <c r="A29">
        <v>45614.70149216436</v>
      </c>
      <c r="B29">
        <v>28</v>
      </c>
      <c r="C29" t="str">
        <f>UPPER(D29)</f>
        <v xml:space="preserve">CRISLAYNE DE SOUZA ANDRADE PEREIRA </v>
      </c>
      <c r="D29" t="str">
        <v xml:space="preserve">Crislayne de Souza Andrade Pereira </v>
      </c>
      <c r="E29">
        <v>36353</v>
      </c>
      <c r="F29">
        <f>DATEDIF(E29,TODAY(),"Y")</f>
        <v>26</v>
      </c>
      <c r="G29" t="str">
        <f>TEXT(E29,"MMMM")</f>
        <v>julho</v>
      </c>
      <c r="H29">
        <v>27999632279</v>
      </c>
      <c r="I29" t="str">
        <v>Feminino</v>
      </c>
      <c r="K29" t="str">
        <v>Casado(a)</v>
      </c>
      <c r="L29" t="str">
        <v xml:space="preserve">Christian da Silva Pereira </v>
      </c>
      <c r="N29" t="str">
        <v xml:space="preserve">Pavão </v>
      </c>
      <c r="O29">
        <v>27</v>
      </c>
      <c r="P29" t="str">
        <v xml:space="preserve">São Conrado </v>
      </c>
      <c r="Q29" t="str">
        <v>Cariacica</v>
      </c>
      <c r="R29" t="str">
        <v>ES</v>
      </c>
      <c r="S29">
        <v>29141195</v>
      </c>
      <c r="T29" t="str">
        <v>Sim</v>
      </c>
      <c r="U29" t="str">
        <v>Sim</v>
      </c>
      <c r="V29" t="str">
        <v>Ativo</v>
      </c>
      <c r="X29" t="str">
        <v>Sim</v>
      </c>
      <c r="Y29" t="str">
        <v>Não</v>
      </c>
      <c r="Z29" t="str">
        <v>18 a 35 anos: Jovem</v>
      </c>
      <c r="AA29" t="str">
        <v>Não</v>
      </c>
      <c r="AB29" t="str">
        <v>Sem Grupo</v>
      </c>
      <c r="AC29" xml:space="preserve">
        <f xml:space="preserve">IFERROR(MATCH(G29,{"Janeiro";"Fevereiro";"Março";"Abril";"Maio";"Junho";"Julho";"Agosto";"Setembro";"Outubro";"Novembro";"Dezembro"},0),"")
</f>
        <v>7</v>
      </c>
      <c r="AD29" t="str">
        <v/>
      </c>
    </row>
    <row r="30" xml:space="preserve">
      <c r="A30">
        <v>45613.506241145835</v>
      </c>
      <c r="B30">
        <v>29</v>
      </c>
      <c r="C30" t="str">
        <f>UPPER(D30)</f>
        <v xml:space="preserve">DANIEL SANTIAGO NERIS </v>
      </c>
      <c r="D30" t="str">
        <v xml:space="preserve">Daniel Santiago Neris </v>
      </c>
      <c r="E30">
        <v>36373</v>
      </c>
      <c r="F30">
        <f>DATEDIF(E30,TODAY(),"Y")</f>
        <v>26</v>
      </c>
      <c r="G30" t="str">
        <f>TEXT(E30,"MMMM")</f>
        <v>agosto</v>
      </c>
      <c r="H30">
        <v>27988275109</v>
      </c>
      <c r="I30" t="str">
        <v>Masculino</v>
      </c>
      <c r="K30" t="str">
        <v>Casado(a)</v>
      </c>
      <c r="L30" t="str">
        <v xml:space="preserve">Suelen viera de Rezende </v>
      </c>
      <c r="N30">
        <v>12</v>
      </c>
      <c r="O30">
        <v>102</v>
      </c>
      <c r="P30" t="str">
        <v>Nova Rosa da Penha 1</v>
      </c>
      <c r="Q30" t="str">
        <v>Cariacica</v>
      </c>
      <c r="R30" t="str">
        <v>ES</v>
      </c>
      <c r="S30">
        <v>29157410</v>
      </c>
      <c r="T30" t="str">
        <v>Não</v>
      </c>
      <c r="U30" t="str">
        <v>Não</v>
      </c>
      <c r="V30" t="str">
        <v>Ativo</v>
      </c>
      <c r="X30" t="str">
        <v>Não</v>
      </c>
      <c r="Y30" t="str">
        <v>Não</v>
      </c>
      <c r="Z30" t="str">
        <v>18 a 35 anos: Jovem</v>
      </c>
      <c r="AA30" t="str">
        <v>Não</v>
      </c>
      <c r="AB30" t="str">
        <v>Sem Grupo</v>
      </c>
      <c r="AC30" xml:space="preserve">
        <f xml:space="preserve">IFERROR(MATCH(G30,{"Janeiro";"Fevereiro";"Março";"Abril";"Maio";"Junho";"Julho";"Agosto";"Setembro";"Outubro";"Novembro";"Dezembro"},0),"")
</f>
        <v>8</v>
      </c>
      <c r="AD30" t="str">
        <v/>
      </c>
    </row>
    <row r="31" xml:space="preserve">
      <c r="A31">
        <v>45621.86878638889</v>
      </c>
      <c r="B31">
        <v>30</v>
      </c>
      <c r="C31" t="str">
        <f>UPPER(D31)</f>
        <v xml:space="preserve">DAVI DE LIMA AZEVEDO </v>
      </c>
      <c r="D31" t="str">
        <v xml:space="preserve">Davi de Lima Azevedo </v>
      </c>
      <c r="E31">
        <v>41892</v>
      </c>
      <c r="F31">
        <f>DATEDIF(E31,TODAY(),"Y")</f>
        <v>11</v>
      </c>
      <c r="G31" t="str">
        <f>TEXT(E31,"MMMM")</f>
        <v>setembro</v>
      </c>
      <c r="H31">
        <v>27998965321</v>
      </c>
      <c r="I31" t="str">
        <v>Masculino</v>
      </c>
      <c r="K31" t="str">
        <v>Solteiro(a)</v>
      </c>
      <c r="M31" t="str">
        <v xml:space="preserve">Joseph das Neves Azevedo </v>
      </c>
      <c r="N31" t="str">
        <v>Bela Vista</v>
      </c>
      <c r="O31">
        <v>15</v>
      </c>
      <c r="P31" t="str">
        <v xml:space="preserve">Arlindo Vilaschi </v>
      </c>
      <c r="Q31" t="str">
        <v>Viana</v>
      </c>
      <c r="R31" t="str">
        <v>ES</v>
      </c>
      <c r="S31">
        <v>29136180</v>
      </c>
      <c r="T31" t="str">
        <v>Sim</v>
      </c>
      <c r="U31" t="str">
        <v>Sim</v>
      </c>
      <c r="V31" t="str">
        <v>Ativo</v>
      </c>
      <c r="X31" t="str">
        <v>Não</v>
      </c>
      <c r="Y31" t="str">
        <v>Não</v>
      </c>
      <c r="Z31" t="str">
        <v>7 a 10 anos: Criança</v>
      </c>
      <c r="AA31" t="str">
        <v>Não</v>
      </c>
      <c r="AB31" t="str">
        <v>Sem Grupo</v>
      </c>
      <c r="AC31" xml:space="preserve">
        <f xml:space="preserve">IFERROR(MATCH(G31,{"Janeiro";"Fevereiro";"Março";"Abril";"Maio";"Junho";"Julho";"Agosto";"Setembro";"Outubro";"Novembro";"Dezembro"},0),"")
</f>
        <v>9</v>
      </c>
      <c r="AD31" t="str">
        <v/>
      </c>
    </row>
    <row r="32" xml:space="preserve">
      <c r="A32">
        <v>45621.78203149306</v>
      </c>
      <c r="B32">
        <v>31</v>
      </c>
      <c r="C32" t="str">
        <f>UPPER(D32)</f>
        <v xml:space="preserve">DAVI SOUZA MATOS MOURA </v>
      </c>
      <c r="D32" t="str">
        <v xml:space="preserve">Davi Souza Matos Moura </v>
      </c>
      <c r="E32">
        <v>41033</v>
      </c>
      <c r="F32">
        <f>DATEDIF(E32,TODAY(),"Y")</f>
        <v>13</v>
      </c>
      <c r="G32" t="str">
        <f>TEXT(E32,"MMMM")</f>
        <v>maio</v>
      </c>
      <c r="H32">
        <v>27997566031</v>
      </c>
      <c r="I32" t="str">
        <v>Masculino</v>
      </c>
      <c r="K32" t="str">
        <v>Solteiro(a)</v>
      </c>
      <c r="M32" t="str">
        <v xml:space="preserve">Bruna Luiza Souza Silva de Jesus </v>
      </c>
      <c r="N32" t="str">
        <v xml:space="preserve">São Benedito </v>
      </c>
      <c r="O32">
        <v>48</v>
      </c>
      <c r="P32" t="str">
        <v xml:space="preserve">Cruzeiro do Sul </v>
      </c>
      <c r="Q32" t="str">
        <v>Cariacica</v>
      </c>
      <c r="R32" t="str">
        <v>ES</v>
      </c>
      <c r="S32">
        <v>29144040</v>
      </c>
      <c r="T32" t="str">
        <v>Sim</v>
      </c>
      <c r="U32" t="str">
        <v>Sim</v>
      </c>
      <c r="V32" t="str">
        <v>Desligado</v>
      </c>
      <c r="W32" t="str">
        <v>Eles estão indo para a Assembleia de Deus. Segundo a Bruna, eles já estavam acostumados lá. O pastor abençoou e liberou todos.</v>
      </c>
      <c r="X32" t="str">
        <v>Não</v>
      </c>
      <c r="Y32" t="str">
        <v>Não</v>
      </c>
      <c r="Z32" t="str">
        <v>11 a 17 anos: Adolescente</v>
      </c>
      <c r="AA32" t="str">
        <v>Não</v>
      </c>
      <c r="AB32" t="str">
        <v>Sem Grupo</v>
      </c>
      <c r="AC32" xml:space="preserve">
        <f xml:space="preserve">IFERROR(MATCH(G32,{"Janeiro";"Fevereiro";"Março";"Abril";"Maio";"Junho";"Julho";"Agosto";"Setembro";"Outubro";"Novembro";"Dezembro"},0),"")
</f>
        <v>5</v>
      </c>
      <c r="AD32" t="str">
        <v/>
      </c>
    </row>
    <row r="33" xml:space="preserve">
      <c r="A33">
        <v>45614.52996255787</v>
      </c>
      <c r="B33">
        <v>32</v>
      </c>
      <c r="C33" t="str">
        <f>UPPER(D33)</f>
        <v>DIEGO SARMENTO LOPES</v>
      </c>
      <c r="D33" t="str">
        <v>Diego Sarmento Lopes</v>
      </c>
      <c r="E33">
        <v>32311</v>
      </c>
      <c r="F33">
        <f>DATEDIF(E33,TODAY(),"Y")</f>
        <v>37</v>
      </c>
      <c r="G33" t="str">
        <f>TEXT(E33,"MMMM")</f>
        <v>junho</v>
      </c>
      <c r="H33">
        <v>27999976075</v>
      </c>
      <c r="I33" t="str">
        <v>Masculino</v>
      </c>
      <c r="K33" t="str">
        <v>Casado(a)</v>
      </c>
      <c r="L33" t="str">
        <v>Laís Lopes</v>
      </c>
      <c r="N33" t="str">
        <v>Boa Vista</v>
      </c>
      <c r="O33">
        <v>509</v>
      </c>
      <c r="P33" t="str">
        <v>São Benedito</v>
      </c>
      <c r="Q33" t="str">
        <v>Cariacica</v>
      </c>
      <c r="R33" t="str">
        <v>ES</v>
      </c>
      <c r="S33">
        <v>29145334</v>
      </c>
      <c r="T33" t="str">
        <v>Sim</v>
      </c>
      <c r="U33" t="str">
        <v>Sim</v>
      </c>
      <c r="V33" t="str">
        <v>Ativo</v>
      </c>
      <c r="X33" t="str">
        <v>Sim</v>
      </c>
      <c r="Y33" t="str">
        <v>Sim</v>
      </c>
      <c r="Z33" t="str">
        <v>36 a 59 anos: Adulto</v>
      </c>
      <c r="AA33" t="str">
        <v>Não</v>
      </c>
      <c r="AB33" t="str">
        <v>Sem Grupo</v>
      </c>
      <c r="AC33" xml:space="preserve">
        <f xml:space="preserve">IFERROR(MATCH(G33,{"Janeiro";"Fevereiro";"Março";"Abril";"Maio";"Junho";"Julho";"Agosto";"Setembro";"Outubro";"Novembro";"Dezembro"},0),"")
</f>
        <v>6</v>
      </c>
      <c r="AD33" t="str">
        <v/>
      </c>
    </row>
    <row r="34" xml:space="preserve">
      <c r="A34">
        <v>45614.741014224535</v>
      </c>
      <c r="B34">
        <v>33</v>
      </c>
      <c r="C34" t="str">
        <f>UPPER(D34)</f>
        <v>EDERSON FLÁVIO DA SILVA</v>
      </c>
      <c r="D34" t="str">
        <v>EDERSON FLÁVIO DA SILVA</v>
      </c>
      <c r="E34">
        <v>29440</v>
      </c>
      <c r="F34">
        <f>DATEDIF(E34,TODAY(),"Y")</f>
        <v>45</v>
      </c>
      <c r="G34" t="str">
        <f>TEXT(E34,"MMMM")</f>
        <v>agosto</v>
      </c>
      <c r="H34">
        <v>27988640283</v>
      </c>
      <c r="I34" t="str">
        <v>Masculino</v>
      </c>
      <c r="K34" t="str">
        <v>Casado(a)</v>
      </c>
      <c r="L34" t="str">
        <v>LETÍCIA CALLOT PINTO DA SILVA</v>
      </c>
      <c r="N34" t="str">
        <v>Itabira</v>
      </c>
      <c r="O34">
        <v>59</v>
      </c>
      <c r="P34" t="str">
        <v>São Geraldo 2</v>
      </c>
      <c r="Q34" t="str">
        <v>Cariacica</v>
      </c>
      <c r="R34" t="str">
        <v>ES</v>
      </c>
      <c r="S34">
        <v>29146840</v>
      </c>
      <c r="T34" t="str">
        <v>Sim</v>
      </c>
      <c r="U34" t="str">
        <v>Sim</v>
      </c>
      <c r="V34" t="str">
        <v>Ativo</v>
      </c>
      <c r="X34" t="str">
        <v>Não</v>
      </c>
      <c r="Y34" t="str">
        <v>Não</v>
      </c>
      <c r="Z34" t="str">
        <v>36 a 59 anos: Adulto</v>
      </c>
      <c r="AA34" t="str">
        <v>Não</v>
      </c>
      <c r="AB34" t="str">
        <v>Sem Grupo</v>
      </c>
      <c r="AC34" xml:space="preserve">
        <f xml:space="preserve">IFERROR(MATCH(G34,{"Janeiro";"Fevereiro";"Março";"Abril";"Maio";"Junho";"Julho";"Agosto";"Setembro";"Outubro";"Novembro";"Dezembro"},0),"")
</f>
        <v>8</v>
      </c>
      <c r="AD34" t="str">
        <v/>
      </c>
    </row>
    <row r="35" xml:space="preserve">
      <c r="A35">
        <v>45618.25727008102</v>
      </c>
      <c r="B35">
        <v>34</v>
      </c>
      <c r="C35" t="str">
        <f>UPPER(D35)</f>
        <v xml:space="preserve">EDILENE RONQUETTI </v>
      </c>
      <c r="D35" t="str">
        <v xml:space="preserve">Edilene Ronquetti </v>
      </c>
      <c r="E35">
        <v>22177</v>
      </c>
      <c r="F35">
        <f>DATEDIF(E35,TODAY(),"Y")</f>
        <v>65</v>
      </c>
      <c r="G35" t="str">
        <f>TEXT(E35,"MMMM")</f>
        <v>setembro</v>
      </c>
      <c r="H35">
        <v>27999549551</v>
      </c>
      <c r="I35" t="str">
        <v>Feminino</v>
      </c>
      <c r="K35" t="str">
        <v>Solteiro(a)</v>
      </c>
      <c r="N35" t="str">
        <v>Odonia da Costa Machado Toledo</v>
      </c>
      <c r="O35">
        <v>311</v>
      </c>
      <c r="P35" t="str">
        <v>Santa Barbara</v>
      </c>
      <c r="Q35" t="str">
        <v>Cariacica</v>
      </c>
      <c r="R35" t="str">
        <v>ES</v>
      </c>
      <c r="S35" t="str">
        <v>29.144 375</v>
      </c>
      <c r="T35" t="str">
        <v>Sim</v>
      </c>
      <c r="U35" t="str">
        <v>Sim</v>
      </c>
      <c r="V35" t="str">
        <v>Ativo</v>
      </c>
      <c r="X35" t="str">
        <v>Não</v>
      </c>
      <c r="Y35" t="str">
        <v>Não</v>
      </c>
      <c r="Z35" t="str">
        <v>60+ anos</v>
      </c>
      <c r="AA35" t="str">
        <v>Não</v>
      </c>
      <c r="AB35" t="str">
        <v>Sem Grupo</v>
      </c>
      <c r="AC35" xml:space="preserve">
        <f xml:space="preserve">IFERROR(MATCH(G35,{"Janeiro";"Fevereiro";"Março";"Abril";"Maio";"Junho";"Julho";"Agosto";"Setembro";"Outubro";"Novembro";"Dezembro"},0),"")
</f>
        <v>9</v>
      </c>
      <c r="AD35" t="str">
        <v/>
      </c>
    </row>
    <row r="36" xml:space="preserve">
      <c r="A36">
        <v>45621.777025891206</v>
      </c>
      <c r="B36">
        <v>35</v>
      </c>
      <c r="C36" t="str">
        <f>UPPER(D36)</f>
        <v xml:space="preserve">EDILSON AZEVEDO DE JESUS </v>
      </c>
      <c r="D36" t="str">
        <v xml:space="preserve">Edilson Azevedo de Jesus </v>
      </c>
      <c r="E36">
        <v>27979</v>
      </c>
      <c r="F36">
        <f>DATEDIF(E36,TODAY(),"Y")</f>
        <v>49</v>
      </c>
      <c r="G36" t="str">
        <f>TEXT(E36,"MMMM")</f>
        <v>agosto</v>
      </c>
      <c r="H36">
        <v>27998878752</v>
      </c>
      <c r="I36" t="str">
        <v>Masculino</v>
      </c>
      <c r="K36" t="str">
        <v>Casado(a)</v>
      </c>
      <c r="L36" t="str">
        <v xml:space="preserve">Bruna Luiza Souza Silva de Jesus </v>
      </c>
      <c r="N36" t="str">
        <v xml:space="preserve">São Benedito </v>
      </c>
      <c r="O36">
        <v>48</v>
      </c>
      <c r="P36" t="str">
        <v xml:space="preserve">Cruzeiro do Sul </v>
      </c>
      <c r="Q36" t="str">
        <v>Cariacica</v>
      </c>
      <c r="R36" t="str">
        <v>ES</v>
      </c>
      <c r="S36">
        <v>29144040</v>
      </c>
      <c r="T36" t="str">
        <v>Sim</v>
      </c>
      <c r="U36" t="str">
        <v>Sim</v>
      </c>
      <c r="V36" t="str">
        <v>Desligado</v>
      </c>
      <c r="W36" t="str">
        <v>Eles estão indo para a Assembleia de Deus. Segundo a Bruna, eles já estavam acostumados lá. O pastor abençoou e liberou todos.</v>
      </c>
      <c r="X36" t="str">
        <v>Não</v>
      </c>
      <c r="Y36" t="str">
        <v>Não</v>
      </c>
      <c r="Z36" t="str">
        <v>36 a 59 anos: Adulto</v>
      </c>
      <c r="AA36" t="str">
        <v>Não</v>
      </c>
      <c r="AB36" t="str">
        <v>Sem Grupo</v>
      </c>
      <c r="AC36" xml:space="preserve">
        <f xml:space="preserve">IFERROR(MATCH(G36,{"Janeiro";"Fevereiro";"Março";"Abril";"Maio";"Junho";"Julho";"Agosto";"Setembro";"Outubro";"Novembro";"Dezembro"},0),"")
</f>
        <v>8</v>
      </c>
      <c r="AD36" t="str">
        <v/>
      </c>
    </row>
    <row r="37" xml:space="preserve">
      <c r="A37">
        <v>45619.57610677084</v>
      </c>
      <c r="B37">
        <v>36</v>
      </c>
      <c r="C37" t="str">
        <f>UPPER(D37)</f>
        <v xml:space="preserve">ELITA DA PENHA PEGO PEREIRA </v>
      </c>
      <c r="D37" t="str">
        <v xml:space="preserve">Elita da Penha Pego Pereira </v>
      </c>
      <c r="E37">
        <v>21067</v>
      </c>
      <c r="F37">
        <f>DATEDIF(E37,TODAY(),"Y")</f>
        <v>68</v>
      </c>
      <c r="G37" t="str">
        <f>TEXT(E37,"MMMM")</f>
        <v>setembro</v>
      </c>
      <c r="H37">
        <v>27992550419</v>
      </c>
      <c r="I37" t="str">
        <v>Feminino</v>
      </c>
      <c r="K37" t="str">
        <v>Casado(a)</v>
      </c>
      <c r="L37" t="str">
        <v xml:space="preserve">Jair alves Pereira </v>
      </c>
      <c r="N37" t="str">
        <v>São João  do Acre</v>
      </c>
      <c r="O37">
        <v>68</v>
      </c>
      <c r="P37" t="str">
        <v>Vila palestina</v>
      </c>
      <c r="Q37" t="str">
        <v>Cariacica</v>
      </c>
      <c r="R37" t="str">
        <v>ES</v>
      </c>
      <c r="S37">
        <v>29145790</v>
      </c>
      <c r="T37" t="str">
        <v>Sim</v>
      </c>
      <c r="U37" t="str">
        <v>Não</v>
      </c>
      <c r="V37" t="str">
        <v>Desligado</v>
      </c>
      <c r="X37" t="str">
        <v>Não</v>
      </c>
      <c r="Y37" t="str">
        <v>Não</v>
      </c>
      <c r="Z37" t="str">
        <v>60+ anos</v>
      </c>
      <c r="AA37" t="str">
        <v>Não</v>
      </c>
      <c r="AB37" t="str">
        <v>Sem Grupo</v>
      </c>
      <c r="AC37" xml:space="preserve">
        <f xml:space="preserve">IFERROR(MATCH(G37,{"Janeiro";"Fevereiro";"Março";"Abril";"Maio";"Junho";"Julho";"Agosto";"Setembro";"Outubro";"Novembro";"Dezembro"},0),"")
</f>
        <v>9</v>
      </c>
      <c r="AD37" t="str">
        <v/>
      </c>
    </row>
    <row r="38" xml:space="preserve">
      <c r="A38">
        <v>45657.52243686342</v>
      </c>
      <c r="B38">
        <v>37</v>
      </c>
      <c r="C38" t="str">
        <f>UPPER(D38)</f>
        <v xml:space="preserve">ELOÁH DE SOUZA MOREIRA </v>
      </c>
      <c r="D38" t="str">
        <v xml:space="preserve">Eloáh de Souza Moreira </v>
      </c>
      <c r="E38">
        <v>44471</v>
      </c>
      <c r="F38">
        <f>DATEDIF(E38,TODAY(),"Y")</f>
        <v>4</v>
      </c>
      <c r="G38" t="str">
        <f>TEXT(E38,"MMMM")</f>
        <v>outubro</v>
      </c>
      <c r="H38">
        <v>27999073362</v>
      </c>
      <c r="I38" t="str">
        <v>Feminino</v>
      </c>
      <c r="K38" t="str">
        <v>Solteiro(a)</v>
      </c>
      <c r="M38" t="str">
        <v xml:space="preserve">Thayná de Souza Dutra e Matheus Henrique de Souza Moreira </v>
      </c>
      <c r="N38" t="str">
        <v xml:space="preserve">Avenida Espirito Santo </v>
      </c>
      <c r="O38">
        <v>1035</v>
      </c>
      <c r="P38" t="str">
        <v xml:space="preserve">Jardim Campo Grande </v>
      </c>
      <c r="Q38" t="str">
        <v>Cariacica</v>
      </c>
      <c r="R38" t="str">
        <v>ES</v>
      </c>
      <c r="S38" t="str">
        <v>29141-459</v>
      </c>
      <c r="T38" t="str">
        <v>Não</v>
      </c>
      <c r="U38" t="str">
        <v>Não</v>
      </c>
      <c r="V38" t="str">
        <v>Ativo</v>
      </c>
      <c r="X38" t="str">
        <v>Não</v>
      </c>
      <c r="Y38" t="str">
        <v>Não</v>
      </c>
      <c r="Z38" t="str">
        <v>0 a 6 anos: Infância</v>
      </c>
      <c r="AA38" t="str">
        <v>Não</v>
      </c>
      <c r="AB38" t="str">
        <v>Sem Grupo</v>
      </c>
      <c r="AC38" xml:space="preserve">
        <f xml:space="preserve">IFERROR(MATCH(G38,{"Janeiro";"Fevereiro";"Março";"Abril";"Maio";"Junho";"Julho";"Agosto";"Setembro";"Outubro";"Novembro";"Dezembro"},0),"")
</f>
        <v>10</v>
      </c>
      <c r="AD38" t="str">
        <v/>
      </c>
    </row>
    <row r="39" xml:space="preserve">
      <c r="A39">
        <v>45613.506435856485</v>
      </c>
      <c r="B39">
        <v>38</v>
      </c>
      <c r="C39" t="str">
        <f>UPPER(D39)</f>
        <v>EMANUEL MOUZINHO ALMEIDA</v>
      </c>
      <c r="D39" t="str">
        <v>Emanuel Mouzinho Almeida</v>
      </c>
      <c r="E39">
        <v>43755</v>
      </c>
      <c r="F39">
        <f>DATEDIF(E39,TODAY(),"Y")</f>
        <v>6</v>
      </c>
      <c r="G39" t="str">
        <f>TEXT(E39,"MMMM")</f>
        <v>outubro</v>
      </c>
      <c r="H39">
        <v>27997226172</v>
      </c>
      <c r="I39" t="str">
        <v>Masculino</v>
      </c>
      <c r="K39" t="str">
        <v>Solteiro(a)</v>
      </c>
      <c r="M39" t="str">
        <v>Ayrton Costa de Almeida</v>
      </c>
      <c r="N39" t="str">
        <v xml:space="preserve">Otávio Cardoso de Alcântara </v>
      </c>
      <c r="O39">
        <v>40</v>
      </c>
      <c r="P39" t="str">
        <v>Santa Fe</v>
      </c>
      <c r="Q39" t="str">
        <v>Cariacica</v>
      </c>
      <c r="R39" t="str">
        <v>ES</v>
      </c>
      <c r="S39">
        <v>29143650</v>
      </c>
      <c r="T39" t="str">
        <v>Não</v>
      </c>
      <c r="U39" t="str">
        <v>Não</v>
      </c>
      <c r="V39" t="str">
        <v>Ativo</v>
      </c>
      <c r="X39" t="str">
        <v>Não</v>
      </c>
      <c r="Y39" t="str">
        <v>Não</v>
      </c>
      <c r="Z39" t="str">
        <v>0 a 6 anos: Infância</v>
      </c>
      <c r="AA39" t="str">
        <v>Não</v>
      </c>
      <c r="AB39" t="str">
        <v>Sem Grupo</v>
      </c>
      <c r="AC39" xml:space="preserve">
        <f xml:space="preserve">IFERROR(MATCH(G39,{"Janeiro";"Fevereiro";"Março";"Abril";"Maio";"Junho";"Julho";"Agosto";"Setembro";"Outubro";"Novembro";"Dezembro"},0),"")
</f>
        <v>10</v>
      </c>
      <c r="AD39" t="str">
        <v/>
      </c>
    </row>
    <row r="40" xml:space="preserve">
      <c r="A40">
        <v>45621.78675940972</v>
      </c>
      <c r="B40">
        <v>39</v>
      </c>
      <c r="C40" t="str">
        <f>UPPER(D40)</f>
        <v xml:space="preserve">EMANUELA SOUZA SILVA NOVAIS </v>
      </c>
      <c r="D40" t="str">
        <v xml:space="preserve">Emanuela Souza Silva Novais </v>
      </c>
      <c r="E40">
        <v>39186</v>
      </c>
      <c r="F40">
        <f>DATEDIF(E40,TODAY(),"Y")</f>
        <v>18</v>
      </c>
      <c r="G40" t="str">
        <f>TEXT(E40,"MMMM")</f>
        <v>abril</v>
      </c>
      <c r="H40">
        <v>27997566031</v>
      </c>
      <c r="I40" t="str">
        <v>Feminino</v>
      </c>
      <c r="K40" t="str">
        <v>Solteiro(a)</v>
      </c>
      <c r="M40" t="str">
        <v xml:space="preserve">Bruna Luiza Souza Silva de Jesus </v>
      </c>
      <c r="N40" t="str">
        <v xml:space="preserve">São Benedito </v>
      </c>
      <c r="O40">
        <v>48</v>
      </c>
      <c r="P40" t="str">
        <v xml:space="preserve">Cruzeiro do Sul </v>
      </c>
      <c r="Q40" t="str">
        <v>Cariacica</v>
      </c>
      <c r="R40" t="str">
        <v>ES</v>
      </c>
      <c r="S40">
        <v>29144040</v>
      </c>
      <c r="T40" t="str">
        <v>Não</v>
      </c>
      <c r="U40" t="str">
        <v>Não</v>
      </c>
      <c r="V40" t="str">
        <v>Desligado</v>
      </c>
      <c r="W40" t="str">
        <v>Eles estão indo para a Assembleia de Deus. Segundo a Bruna, eles já estavam acostumados lá. O pastor abençoou e liberou todos.</v>
      </c>
      <c r="X40" t="str">
        <v>Não</v>
      </c>
      <c r="Y40" t="str">
        <v>Não</v>
      </c>
      <c r="Z40" t="str">
        <v>11 a 17 anos: Adolescente</v>
      </c>
      <c r="AA40" t="str">
        <v>Não</v>
      </c>
      <c r="AB40" t="str">
        <v>Sem Grupo</v>
      </c>
      <c r="AC40" xml:space="preserve">
        <f xml:space="preserve">IFERROR(MATCH(G40,{"Janeiro";"Fevereiro";"Março";"Abril";"Maio";"Junho";"Julho";"Agosto";"Setembro";"Outubro";"Novembro";"Dezembro"},0),"")
</f>
        <v>4</v>
      </c>
      <c r="AD40" t="str">
        <v/>
      </c>
    </row>
    <row r="41" xml:space="preserve">
      <c r="A41">
        <v>45631.37109540509</v>
      </c>
      <c r="B41">
        <v>40</v>
      </c>
      <c r="C41" t="str">
        <f>UPPER(D41)</f>
        <v>EMILIA ANSELMO FERNANDES</v>
      </c>
      <c r="D41" t="str">
        <v>Emilia Anselmo Fernandes</v>
      </c>
      <c r="E41">
        <v>13044</v>
      </c>
      <c r="F41">
        <f>DATEDIF(E41,TODAY(),"Y")</f>
        <v>90</v>
      </c>
      <c r="G41" t="str">
        <f>TEXT(E41,"MMMM")</f>
        <v>setembro</v>
      </c>
      <c r="H41">
        <v>27981466347</v>
      </c>
      <c r="I41" t="str">
        <v>Feminino</v>
      </c>
      <c r="N41" t="str">
        <v>dos milagres</v>
      </c>
      <c r="O41">
        <v>37</v>
      </c>
      <c r="P41" t="str">
        <v>Vila Palestina</v>
      </c>
      <c r="Q41" t="str">
        <v>Cariacica</v>
      </c>
      <c r="R41" t="str">
        <v>ES</v>
      </c>
      <c r="T41" t="str">
        <v>Sim</v>
      </c>
      <c r="U41" t="str">
        <v>Sim</v>
      </c>
      <c r="V41" t="str">
        <v>Ativo</v>
      </c>
      <c r="X41" t="str">
        <v>Não</v>
      </c>
      <c r="Y41" t="str">
        <v>Não</v>
      </c>
      <c r="Z41" t="str">
        <v>60+ anos</v>
      </c>
      <c r="AA41" t="str">
        <v>Não</v>
      </c>
      <c r="AB41" t="str">
        <v>Sem Grupo</v>
      </c>
      <c r="AC41" xml:space="preserve">
        <f xml:space="preserve">IFERROR(MATCH(G41,{"Janeiro";"Fevereiro";"Março";"Abril";"Maio";"Junho";"Julho";"Agosto";"Setembro";"Outubro";"Novembro";"Dezembro"},0),"")
</f>
        <v>9</v>
      </c>
      <c r="AD41" t="str">
        <v/>
      </c>
    </row>
    <row r="42" xml:space="preserve">
      <c r="A42">
        <v>45612.71464106481</v>
      </c>
      <c r="B42">
        <v>41</v>
      </c>
      <c r="C42" t="str">
        <f>UPPER(D42)</f>
        <v xml:space="preserve">ERIELTON DE PAULA MELO </v>
      </c>
      <c r="D42" t="str">
        <v xml:space="preserve">Erielton De paula Melo </v>
      </c>
      <c r="E42">
        <v>32436</v>
      </c>
      <c r="F42">
        <f>DATEDIF(E42,TODAY(),"Y")</f>
        <v>37</v>
      </c>
      <c r="G42" t="str">
        <f>TEXT(E42,"MMMM")</f>
        <v>outubro</v>
      </c>
      <c r="H42">
        <v>27996225719</v>
      </c>
      <c r="I42" t="str">
        <v>Masculino</v>
      </c>
      <c r="K42" t="str">
        <v>Casado(a)</v>
      </c>
      <c r="L42" t="str">
        <v xml:space="preserve">Schaiany Pimentel Santa Clara de Paula </v>
      </c>
      <c r="N42" t="str">
        <v>Das papoulas</v>
      </c>
      <c r="O42">
        <v>161</v>
      </c>
      <c r="P42" t="str">
        <v xml:space="preserve">Santo André </v>
      </c>
      <c r="Q42" t="str">
        <v>Cariacica</v>
      </c>
      <c r="R42" t="str">
        <v>ES</v>
      </c>
      <c r="S42" t="str">
        <v>29144-657</v>
      </c>
      <c r="T42" t="str">
        <v>Sim</v>
      </c>
      <c r="U42" t="str">
        <v>Sim</v>
      </c>
      <c r="V42" t="str">
        <v>Ativo</v>
      </c>
      <c r="X42" t="str">
        <v>Sim</v>
      </c>
      <c r="Y42" t="str">
        <v>Sim</v>
      </c>
      <c r="Z42" t="str">
        <v>36 a 59 anos: Adulto</v>
      </c>
      <c r="AA42" t="str">
        <v>Não</v>
      </c>
      <c r="AB42" t="str">
        <v>Sem Grupo</v>
      </c>
      <c r="AC42" xml:space="preserve">
        <f xml:space="preserve">IFERROR(MATCH(G42,{"Janeiro";"Fevereiro";"Março";"Abril";"Maio";"Junho";"Julho";"Agosto";"Setembro";"Outubro";"Novembro";"Dezembro"},0),"")
</f>
        <v>10</v>
      </c>
      <c r="AD42" t="str">
        <v/>
      </c>
    </row>
    <row r="43" xml:space="preserve">
      <c r="A43">
        <v>45619.514078576394</v>
      </c>
      <c r="B43">
        <v>42</v>
      </c>
      <c r="C43" t="str">
        <f>UPPER(D43)</f>
        <v xml:space="preserve">EVELLYN WILL MONTEIRO COSTA DIAS </v>
      </c>
      <c r="D43" t="str">
        <v xml:space="preserve">Evellyn Will monteiro costa dias </v>
      </c>
      <c r="E43">
        <v>41787</v>
      </c>
      <c r="F43">
        <f>DATEDIF(E43,TODAY(),"Y")</f>
        <v>11</v>
      </c>
      <c r="G43" t="str">
        <f>TEXT(E43,"MMMM")</f>
        <v>maio</v>
      </c>
      <c r="H43">
        <v>27998361927</v>
      </c>
      <c r="I43" t="str">
        <v>Feminino</v>
      </c>
      <c r="K43" t="str">
        <v>Solteiro(a)</v>
      </c>
      <c r="M43" t="str">
        <v xml:space="preserve">Bruna Will </v>
      </c>
      <c r="N43" t="str">
        <v xml:space="preserve">Abílio pontini </v>
      </c>
      <c r="O43">
        <v>145</v>
      </c>
      <c r="P43" t="str">
        <v xml:space="preserve">São Geraldo 2 </v>
      </c>
      <c r="Q43" t="str">
        <v>Cariacica</v>
      </c>
      <c r="R43" t="str">
        <v>ES</v>
      </c>
      <c r="S43">
        <v>29246805</v>
      </c>
      <c r="T43" t="str">
        <v>Sim</v>
      </c>
      <c r="U43" t="str">
        <v>Sim</v>
      </c>
      <c r="V43" t="str">
        <v>Ativo</v>
      </c>
      <c r="X43" t="str">
        <v>Não</v>
      </c>
      <c r="Y43" t="str">
        <v>Não</v>
      </c>
      <c r="Z43" t="str">
        <v>7 a 10 anos: Criança</v>
      </c>
      <c r="AA43" t="str">
        <v>Não</v>
      </c>
      <c r="AB43" t="str">
        <v>Sem Grupo</v>
      </c>
      <c r="AC43" xml:space="preserve">
        <f xml:space="preserve">IFERROR(MATCH(G43,{"Janeiro";"Fevereiro";"Março";"Abril";"Maio";"Junho";"Julho";"Agosto";"Setembro";"Outubro";"Novembro";"Dezembro"},0),"")
</f>
        <v>5</v>
      </c>
      <c r="AD43" t="str">
        <v/>
      </c>
    </row>
    <row r="44" xml:space="preserve">
      <c r="A44">
        <v>45614.60327820602</v>
      </c>
      <c r="B44">
        <v>43</v>
      </c>
      <c r="C44" t="str">
        <f>UPPER(D44)</f>
        <v xml:space="preserve">EVELYN SANTA CLARA DE PAULA </v>
      </c>
      <c r="D44" t="str">
        <v xml:space="preserve">Evelyn Santa Clara De Paula </v>
      </c>
      <c r="E44">
        <v>43435</v>
      </c>
      <c r="F44">
        <f>DATEDIF(E44,TODAY(),"Y")</f>
        <v>7</v>
      </c>
      <c r="G44" t="str">
        <f>TEXT(E44,"MMMM")</f>
        <v>dezembro</v>
      </c>
      <c r="H44">
        <v>27996225719</v>
      </c>
      <c r="I44" t="str">
        <v>Feminino</v>
      </c>
      <c r="K44" t="str">
        <v>Solteiro(a)</v>
      </c>
      <c r="M44" t="str">
        <v xml:space="preserve">Erielton De paula Melo </v>
      </c>
      <c r="N44" t="str">
        <v>Das Papoulas</v>
      </c>
      <c r="O44">
        <v>161</v>
      </c>
      <c r="P44" t="str">
        <v xml:space="preserve">Santo André </v>
      </c>
      <c r="Q44" t="str">
        <v>Cariacica</v>
      </c>
      <c r="R44" t="str">
        <v>ES</v>
      </c>
      <c r="S44">
        <v>29144657</v>
      </c>
      <c r="T44" t="str">
        <v>Não</v>
      </c>
      <c r="U44" t="str">
        <v>Não</v>
      </c>
      <c r="V44" t="str">
        <v>Ativo</v>
      </c>
      <c r="X44" t="str">
        <v>Não</v>
      </c>
      <c r="Y44" t="str">
        <v>Não</v>
      </c>
      <c r="Z44" t="str">
        <v>0 a 6 anos: Infância</v>
      </c>
      <c r="AA44" t="str">
        <v>Não</v>
      </c>
      <c r="AB44" t="str">
        <v>Sem Grupo</v>
      </c>
      <c r="AC44" xml:space="preserve">
        <f xml:space="preserve">IFERROR(MATCH(G44,{"Janeiro";"Fevereiro";"Março";"Abril";"Maio";"Junho";"Julho";"Agosto";"Setembro";"Outubro";"Novembro";"Dezembro"},0),"")
</f>
        <v>12</v>
      </c>
      <c r="AD44" t="str">
        <v/>
      </c>
    </row>
    <row r="45" xml:space="preserve">
      <c r="A45">
        <v>45615.59301196759</v>
      </c>
      <c r="B45">
        <v>44</v>
      </c>
      <c r="C45" t="str">
        <f>UPPER(D45)</f>
        <v xml:space="preserve">FÁBIO NUNES FERREIRA </v>
      </c>
      <c r="D45" t="str">
        <v xml:space="preserve">Fábio Nunes Ferreira </v>
      </c>
      <c r="E45">
        <v>28443</v>
      </c>
      <c r="F45">
        <f>DATEDIF(E45,TODAY(),"Y")</f>
        <v>48</v>
      </c>
      <c r="G45" t="str">
        <f>TEXT(E45,"MMMM")</f>
        <v>novembro</v>
      </c>
      <c r="H45">
        <v>27999168641</v>
      </c>
      <c r="I45" t="str">
        <v>Masculino</v>
      </c>
      <c r="K45" t="str">
        <v>Casado(a)</v>
      </c>
      <c r="L45" t="str">
        <v xml:space="preserve">Scheila A. Torezani Ferreira </v>
      </c>
      <c r="N45" t="str">
        <v xml:space="preserve">Da comunidade </v>
      </c>
      <c r="O45">
        <v>255</v>
      </c>
      <c r="P45" t="str">
        <v xml:space="preserve">Rosa da Penha </v>
      </c>
      <c r="Q45" t="str">
        <v>Cariacica</v>
      </c>
      <c r="R45" t="str">
        <v>ES</v>
      </c>
      <c r="S45">
        <v>29143430</v>
      </c>
      <c r="T45" t="str">
        <v>Sim</v>
      </c>
      <c r="U45" t="str">
        <v>Sim</v>
      </c>
      <c r="V45" t="str">
        <v>Ativo</v>
      </c>
      <c r="X45" t="str">
        <v>Sim</v>
      </c>
      <c r="Y45" t="str">
        <v>Sim</v>
      </c>
      <c r="Z45" t="str">
        <v>36 a 59 anos: Adulto</v>
      </c>
      <c r="AA45" t="str">
        <v>Não</v>
      </c>
      <c r="AB45" t="str">
        <v>Sem Grupo</v>
      </c>
      <c r="AC45" xml:space="preserve">
        <f xml:space="preserve">IFERROR(MATCH(G45,{"Janeiro";"Fevereiro";"Março";"Abril";"Maio";"Junho";"Julho";"Agosto";"Setembro";"Outubro";"Novembro";"Dezembro"},0),"")
</f>
        <v>11</v>
      </c>
      <c r="AD45" t="str">
        <v/>
      </c>
    </row>
    <row r="46" xml:space="preserve">
      <c r="A46">
        <v>45617.440792361114</v>
      </c>
      <c r="B46">
        <v>45</v>
      </c>
      <c r="C46" t="str">
        <f>UPPER(D46)</f>
        <v xml:space="preserve">FLÁVIO SIQUEIRA </v>
      </c>
      <c r="D46" t="str">
        <v xml:space="preserve">Flávio Siqueira </v>
      </c>
      <c r="E46">
        <v>26943</v>
      </c>
      <c r="F46">
        <f>DATEDIF(E46,TODAY(),"Y")</f>
        <v>52</v>
      </c>
      <c r="G46" t="str">
        <f>TEXT(E46,"MMMM")</f>
        <v>outubro</v>
      </c>
      <c r="H46">
        <v>27998741382</v>
      </c>
      <c r="I46" t="str">
        <v>Masculino</v>
      </c>
      <c r="K46" t="str">
        <v>Casado(a)</v>
      </c>
      <c r="L46" t="str">
        <v xml:space="preserve">Joscileia Ferreira </v>
      </c>
      <c r="N46" t="str">
        <v xml:space="preserve">Porto Seguro </v>
      </c>
      <c r="O46">
        <v>206</v>
      </c>
      <c r="P46" t="str">
        <v xml:space="preserve">Tiradentes </v>
      </c>
      <c r="Q46" t="str">
        <v>Cariacica</v>
      </c>
      <c r="R46" t="str">
        <v>ES</v>
      </c>
      <c r="S46" t="str">
        <v xml:space="preserve">29143-508 </v>
      </c>
      <c r="T46" t="str">
        <v>Sim</v>
      </c>
      <c r="U46" t="str">
        <v>Sim</v>
      </c>
      <c r="V46" t="str">
        <v>Ativo</v>
      </c>
      <c r="X46" t="str">
        <v>Não</v>
      </c>
      <c r="Y46" t="str">
        <v>Não</v>
      </c>
      <c r="Z46" t="str">
        <v>36 a 59 anos: Adulto</v>
      </c>
      <c r="AA46" t="str">
        <v>Não</v>
      </c>
      <c r="AB46" t="str">
        <v>Sem Grupo</v>
      </c>
      <c r="AC46" xml:space="preserve">
        <f xml:space="preserve">IFERROR(MATCH(G46,{"Janeiro";"Fevereiro";"Março";"Abril";"Maio";"Junho";"Julho";"Agosto";"Setembro";"Outubro";"Novembro";"Dezembro"},0),"")
</f>
        <v>10</v>
      </c>
      <c r="AD46" t="str">
        <v/>
      </c>
    </row>
    <row r="47" xml:space="preserve">
      <c r="A47">
        <v>45614.61112702546</v>
      </c>
      <c r="B47">
        <v>46</v>
      </c>
      <c r="C47" t="str">
        <f>UPPER(D47)</f>
        <v xml:space="preserve">GABRIEL DONDONI ALVES </v>
      </c>
      <c r="D47" t="str">
        <v xml:space="preserve">Gabriel Dondoni Alves </v>
      </c>
      <c r="E47">
        <v>36313</v>
      </c>
      <c r="F47">
        <f>DATEDIF(E47,TODAY(),"Y")</f>
        <v>26</v>
      </c>
      <c r="G47" t="str">
        <f>TEXT(E47,"MMMM")</f>
        <v>junho</v>
      </c>
      <c r="H47">
        <v>27995905817</v>
      </c>
      <c r="I47" t="str">
        <v>Masculino</v>
      </c>
      <c r="K47" t="str">
        <v>Casado(a)</v>
      </c>
      <c r="L47" t="str">
        <v xml:space="preserve">Thamyres Coelho Dondoni </v>
      </c>
      <c r="N47" t="str">
        <v xml:space="preserve">Guarapari </v>
      </c>
      <c r="O47">
        <v>19</v>
      </c>
      <c r="P47" t="str">
        <v xml:space="preserve">Vista Dourada </v>
      </c>
      <c r="Q47" t="str">
        <v>Cariacica</v>
      </c>
      <c r="R47" t="str">
        <v>ES</v>
      </c>
      <c r="S47">
        <v>29158652</v>
      </c>
      <c r="T47" t="str">
        <v>Sim</v>
      </c>
      <c r="U47" t="str">
        <v>Não</v>
      </c>
      <c r="V47" t="str">
        <v>Desligado</v>
      </c>
      <c r="W47" t="str">
        <v>Pedido de desligamento no dia 08/12/2025 às 15:55</v>
      </c>
      <c r="X47" t="str">
        <v>Não</v>
      </c>
      <c r="Y47" t="str">
        <v>Não</v>
      </c>
      <c r="Z47" t="str">
        <v>18 a 35 anos: Jovem</v>
      </c>
      <c r="AA47" t="str">
        <v>Não</v>
      </c>
      <c r="AB47" t="str">
        <v>Sem Grupo</v>
      </c>
      <c r="AC47" xml:space="preserve">
        <f xml:space="preserve">IFERROR(MATCH(G47,{"Janeiro";"Fevereiro";"Março";"Abril";"Maio";"Junho";"Julho";"Agosto";"Setembro";"Outubro";"Novembro";"Dezembro"},0),"")
</f>
        <v>6</v>
      </c>
      <c r="AD47" t="str">
        <v/>
      </c>
    </row>
    <row r="48" xml:space="preserve">
      <c r="A48">
        <v>45614.46814210648</v>
      </c>
      <c r="B48">
        <v>47</v>
      </c>
      <c r="C48" t="str">
        <f>UPPER(D48)</f>
        <v>GABRIELLE ROCHA DA SILVA</v>
      </c>
      <c r="D48" t="str">
        <v>Gabrielle Rocha Da Silva</v>
      </c>
      <c r="E48">
        <v>39886</v>
      </c>
      <c r="F48">
        <f>DATEDIF(E48,TODAY(),"Y")</f>
        <v>16</v>
      </c>
      <c r="G48" t="str">
        <f>TEXT(E48,"MMMM")</f>
        <v>março</v>
      </c>
      <c r="H48">
        <v>27996486318</v>
      </c>
      <c r="I48" t="str">
        <v>Feminino</v>
      </c>
      <c r="K48" t="str">
        <v>Solteiro(a)</v>
      </c>
      <c r="M48" t="str">
        <v>Maria Helena Rocha</v>
      </c>
      <c r="N48" t="str">
        <v>Elizabeth 2</v>
      </c>
      <c r="O48">
        <v>50</v>
      </c>
      <c r="P48" t="str">
        <v xml:space="preserve">Universal </v>
      </c>
      <c r="Q48" t="str">
        <v>Viana</v>
      </c>
      <c r="R48" t="str">
        <v>ES</v>
      </c>
      <c r="S48">
        <v>29134526</v>
      </c>
      <c r="T48" t="str">
        <v>Sim</v>
      </c>
      <c r="U48" t="str">
        <v>Sim</v>
      </c>
      <c r="V48" t="str">
        <v>Ativo</v>
      </c>
      <c r="X48" t="str">
        <v>Não</v>
      </c>
      <c r="Y48" t="str">
        <v>Não</v>
      </c>
      <c r="Z48" t="str">
        <v>11 a 17 anos: Adolescente</v>
      </c>
      <c r="AA48" t="str">
        <v>Não</v>
      </c>
      <c r="AB48" t="str">
        <v>Sem Grupo</v>
      </c>
      <c r="AC48" xml:space="preserve">
        <f xml:space="preserve">IFERROR(MATCH(G48,{"Janeiro";"Fevereiro";"Março";"Abril";"Maio";"Junho";"Julho";"Agosto";"Setembro";"Outubro";"Novembro";"Dezembro"},0),"")
</f>
        <v>3</v>
      </c>
      <c r="AD48" t="str">
        <v/>
      </c>
    </row>
    <row r="49" xml:space="preserve">
      <c r="A49">
        <v>45789.36301609954</v>
      </c>
      <c r="B49">
        <v>48</v>
      </c>
      <c r="C49" t="str">
        <f>UPPER(D49)</f>
        <v>GETÚLIO SILVA CORREA</v>
      </c>
      <c r="D49" t="str">
        <v>GETÚLIO SILVA CORREA</v>
      </c>
      <c r="E49">
        <v>18889</v>
      </c>
      <c r="F49">
        <f>DATEDIF(E49,TODAY(),"Y")</f>
        <v>74</v>
      </c>
      <c r="G49" t="str">
        <f>TEXT(E49,"MMMM")</f>
        <v>setembro</v>
      </c>
      <c r="H49">
        <v>27999370112</v>
      </c>
      <c r="I49" t="str">
        <v>Masculino</v>
      </c>
      <c r="N49" t="str">
        <v>AV. PALESTINA</v>
      </c>
      <c r="O49" t="str">
        <v>03</v>
      </c>
      <c r="P49" t="str">
        <v>VILA PALESTINA</v>
      </c>
      <c r="Q49" t="str">
        <v>Cariacica</v>
      </c>
      <c r="R49" t="str">
        <v>ES</v>
      </c>
      <c r="T49" t="str">
        <v>Sim</v>
      </c>
      <c r="U49" t="str">
        <v>Sim</v>
      </c>
      <c r="V49" t="str">
        <v>Ativo</v>
      </c>
      <c r="X49" t="str">
        <v>Não</v>
      </c>
      <c r="Y49" t="str">
        <v>Não</v>
      </c>
      <c r="Z49" t="str">
        <v>60+ anos</v>
      </c>
      <c r="AA49" t="str">
        <v>Não</v>
      </c>
      <c r="AB49" t="str">
        <v>Sem Grupo</v>
      </c>
      <c r="AC49" xml:space="preserve">
        <f xml:space="preserve">IFERROR(MATCH(G49,{"Janeiro";"Fevereiro";"Março";"Abril";"Maio";"Junho";"Julho";"Agosto";"Setembro";"Outubro";"Novembro";"Dezembro"},0),"")
</f>
        <v>9</v>
      </c>
      <c r="AD49" t="str">
        <v/>
      </c>
    </row>
    <row r="50" xml:space="preserve">
      <c r="A50">
        <v>45620.88598689815</v>
      </c>
      <c r="B50">
        <v>49</v>
      </c>
      <c r="C50" t="str">
        <f>UPPER(D50)</f>
        <v xml:space="preserve">GILDAZIO LIMA DOS SANTOS </v>
      </c>
      <c r="D50" t="str">
        <v xml:space="preserve">Gildazio lima dos santos </v>
      </c>
      <c r="E50">
        <v>34336</v>
      </c>
      <c r="F50">
        <f>DATEDIF(E50,TODAY(),"Y")</f>
        <v>31</v>
      </c>
      <c r="G50" t="str">
        <f>TEXT(E50,"MMMM")</f>
        <v>janeiro</v>
      </c>
      <c r="H50">
        <v>27981037306</v>
      </c>
      <c r="I50" t="str">
        <v>Masculino</v>
      </c>
      <c r="K50" t="str">
        <v>Casado(a)</v>
      </c>
      <c r="L50" t="str">
        <v>Amanda Ronquetti</v>
      </c>
      <c r="N50" t="str">
        <v>O</v>
      </c>
      <c r="O50" t="str">
        <v>06</v>
      </c>
      <c r="P50" t="str">
        <v xml:space="preserve">Campo verde </v>
      </c>
      <c r="Q50" t="str">
        <v>Viana</v>
      </c>
      <c r="R50" t="str">
        <v>ES</v>
      </c>
      <c r="S50">
        <v>29138445</v>
      </c>
      <c r="T50" t="str">
        <v>Sim</v>
      </c>
      <c r="U50" t="str">
        <v>Sim</v>
      </c>
      <c r="V50" t="str">
        <v>Ativo</v>
      </c>
      <c r="X50" t="str">
        <v>Não</v>
      </c>
      <c r="Y50" t="str">
        <v>Não</v>
      </c>
      <c r="Z50" t="str">
        <v>18 a 35 anos: Jovem</v>
      </c>
      <c r="AA50" t="str">
        <v>Não</v>
      </c>
      <c r="AB50" t="str">
        <v>Sem Grupo</v>
      </c>
      <c r="AC50" xml:space="preserve">
        <f xml:space="preserve">IFERROR(MATCH(G50,{"Janeiro";"Fevereiro";"Março";"Abril";"Maio";"Junho";"Julho";"Agosto";"Setembro";"Outubro";"Novembro";"Dezembro"},0),"")
</f>
        <v>1</v>
      </c>
      <c r="AD50" t="str">
        <v/>
      </c>
    </row>
    <row r="51" xml:space="preserve">
      <c r="A51">
        <v>45631.369802615736</v>
      </c>
      <c r="B51">
        <v>50</v>
      </c>
      <c r="C51" t="str">
        <f>UPPER(D51)</f>
        <v xml:space="preserve">GILMARA ANSELMO FERNANDES </v>
      </c>
      <c r="D51" t="str">
        <v xml:space="preserve">Gilmara Anselmo Fernandes </v>
      </c>
      <c r="E51">
        <v>28595</v>
      </c>
      <c r="F51">
        <f>DATEDIF(E51,TODAY(),"Y")</f>
        <v>47</v>
      </c>
      <c r="G51" t="str">
        <f>TEXT(E51,"MMMM")</f>
        <v>abril</v>
      </c>
      <c r="H51">
        <v>27981466347</v>
      </c>
      <c r="I51" t="str">
        <v>Feminino</v>
      </c>
      <c r="N51" t="str">
        <v>dos milagres</v>
      </c>
      <c r="O51">
        <v>37</v>
      </c>
      <c r="P51" t="str">
        <v>Vila Palestina</v>
      </c>
      <c r="Q51" t="str">
        <v>Cariacica</v>
      </c>
      <c r="R51" t="str">
        <v>ES</v>
      </c>
      <c r="T51" t="str">
        <v>Sim</v>
      </c>
      <c r="U51" t="str">
        <v>Sim</v>
      </c>
      <c r="V51" t="str">
        <v>Ativo</v>
      </c>
      <c r="X51" t="str">
        <v>Não</v>
      </c>
      <c r="Y51" t="str">
        <v>Não</v>
      </c>
      <c r="Z51" t="str">
        <v>36 a 59 anos: Adulto</v>
      </c>
      <c r="AA51" t="str">
        <v>Não</v>
      </c>
      <c r="AB51" t="str">
        <v>Sem Grupo</v>
      </c>
      <c r="AC51" xml:space="preserve">
        <f xml:space="preserve">IFERROR(MATCH(G51,{"Janeiro";"Fevereiro";"Março";"Abril";"Maio";"Junho";"Julho";"Agosto";"Setembro";"Outubro";"Novembro";"Dezembro"},0),"")
</f>
        <v>4</v>
      </c>
      <c r="AD51" t="str">
        <v/>
      </c>
    </row>
    <row r="52" xml:space="preserve">
      <c r="A52">
        <v>45618.88570775463</v>
      </c>
      <c r="B52">
        <v>51</v>
      </c>
      <c r="C52" t="str">
        <f>UPPER(D52)</f>
        <v xml:space="preserve">GLÊNIO ABADIS DOS SANTOS </v>
      </c>
      <c r="D52" t="str">
        <v xml:space="preserve">GLÊNIO ABADIS DOS SANTOS </v>
      </c>
      <c r="E52">
        <v>29565</v>
      </c>
      <c r="F52">
        <f>DATEDIF(E52,TODAY(),"Y")</f>
        <v>45</v>
      </c>
      <c r="G52" t="str">
        <f>TEXT(E52,"MMMM")</f>
        <v>dezembro</v>
      </c>
      <c r="H52">
        <v>27997826522</v>
      </c>
      <c r="I52" t="str">
        <v>Masculino</v>
      </c>
      <c r="K52" t="str">
        <v>Casado(a)</v>
      </c>
      <c r="L52" t="str">
        <v xml:space="preserve">JILVANETE LIMA DOS SANTOS </v>
      </c>
      <c r="N52" t="str">
        <v xml:space="preserve">HORIZONTE FELIZ </v>
      </c>
      <c r="O52" t="str">
        <v>02</v>
      </c>
      <c r="P52" t="str">
        <v xml:space="preserve">CAMPINA GRANDE </v>
      </c>
      <c r="Q52" t="str">
        <v>Cariacica</v>
      </c>
      <c r="R52" t="str">
        <v>ES</v>
      </c>
      <c r="S52">
        <v>29144306</v>
      </c>
      <c r="T52" t="str">
        <v>Sim</v>
      </c>
      <c r="U52" t="str">
        <v>Sim</v>
      </c>
      <c r="V52" t="str">
        <v>Ativo</v>
      </c>
      <c r="X52" t="str">
        <v>Não</v>
      </c>
      <c r="Y52" t="str">
        <v>Sim</v>
      </c>
      <c r="Z52" t="str">
        <v>36 a 59 anos: Adulto</v>
      </c>
      <c r="AA52" t="str">
        <v>Não</v>
      </c>
      <c r="AB52" t="str">
        <v>Sem Grupo</v>
      </c>
      <c r="AC52" xml:space="preserve">
        <f xml:space="preserve">IFERROR(MATCH(G52,{"Janeiro";"Fevereiro";"Março";"Abril";"Maio";"Junho";"Julho";"Agosto";"Setembro";"Outubro";"Novembro";"Dezembro"},0),"")
</f>
        <v>12</v>
      </c>
      <c r="AD52" t="str">
        <v/>
      </c>
    </row>
    <row r="53" xml:space="preserve">
      <c r="A53">
        <v>45614.49331089121</v>
      </c>
      <c r="B53">
        <v>52</v>
      </c>
      <c r="C53" t="str">
        <f>UPPER(D53)</f>
        <v xml:space="preserve">GREZIELI ROCHA MOUSINHO </v>
      </c>
      <c r="D53" t="str">
        <v xml:space="preserve">Grezieli Rocha Mousinho </v>
      </c>
      <c r="E53">
        <v>36413</v>
      </c>
      <c r="F53">
        <f>DATEDIF(E53,TODAY(),"Y")</f>
        <v>26</v>
      </c>
      <c r="G53" t="str">
        <f>TEXT(E53,"MMMM")</f>
        <v>setembro</v>
      </c>
      <c r="H53">
        <v>27996422970</v>
      </c>
      <c r="I53" t="str">
        <v>Feminino</v>
      </c>
      <c r="K53" t="str">
        <v>Casado(a)</v>
      </c>
      <c r="L53" t="str">
        <v xml:space="preserve">Jhonatan de Souza Andrade </v>
      </c>
      <c r="N53" t="str">
        <v xml:space="preserve">Crisólito </v>
      </c>
      <c r="O53">
        <v>18</v>
      </c>
      <c r="P53" t="str">
        <v>São Geraldo 1</v>
      </c>
      <c r="Q53" t="str">
        <v>Cariacica</v>
      </c>
      <c r="R53" t="str">
        <v>ES</v>
      </c>
      <c r="S53">
        <v>29146605</v>
      </c>
      <c r="T53" t="str">
        <v>Sim</v>
      </c>
      <c r="U53" t="str">
        <v>Sim</v>
      </c>
      <c r="V53" t="str">
        <v>Ativo</v>
      </c>
      <c r="X53" t="str">
        <v>Sim</v>
      </c>
      <c r="Y53" t="str">
        <v>Sim</v>
      </c>
      <c r="Z53" t="str">
        <v>18 a 35 anos: Jovem</v>
      </c>
      <c r="AA53" t="str">
        <v>Não</v>
      </c>
      <c r="AB53" t="str">
        <v>Sem Grupo</v>
      </c>
      <c r="AC53" xml:space="preserve">
        <f xml:space="preserve">IFERROR(MATCH(G53,{"Janeiro";"Fevereiro";"Março";"Abril";"Maio";"Junho";"Julho";"Agosto";"Setembro";"Outubro";"Novembro";"Dezembro"},0),"")
</f>
        <v>9</v>
      </c>
      <c r="AD53" t="str">
        <v/>
      </c>
    </row>
    <row r="54" xml:space="preserve">
      <c r="A54">
        <v>45617.876602442135</v>
      </c>
      <c r="B54">
        <v>53</v>
      </c>
      <c r="C54" t="str">
        <f>UPPER(D54)</f>
        <v xml:space="preserve">GUILHERME DA SILVA ALVES </v>
      </c>
      <c r="D54" t="str">
        <v xml:space="preserve">Guilherme da Silva Alves </v>
      </c>
      <c r="E54">
        <v>42564</v>
      </c>
      <c r="F54">
        <f>DATEDIF(E54,TODAY(),"Y")</f>
        <v>9</v>
      </c>
      <c r="G54" t="str">
        <f>TEXT(E54,"MMMM")</f>
        <v>julho</v>
      </c>
      <c r="H54">
        <v>27996547612</v>
      </c>
      <c r="I54" t="str">
        <v>Masculino</v>
      </c>
      <c r="K54" t="str">
        <v>Solteiro(a)</v>
      </c>
      <c r="M54" t="str">
        <v xml:space="preserve">Lorranhe da Silva mãe </v>
      </c>
      <c r="N54" t="str">
        <v xml:space="preserve">Independência </v>
      </c>
      <c r="O54">
        <v>466</v>
      </c>
      <c r="P54" t="str">
        <v xml:space="preserve">Cruzeiro do Sul </v>
      </c>
      <c r="Q54" t="str">
        <v>Cariacica</v>
      </c>
      <c r="R54" t="str">
        <v>ES</v>
      </c>
      <c r="S54">
        <v>29144060</v>
      </c>
      <c r="T54" t="str">
        <v>Não</v>
      </c>
      <c r="U54" t="str">
        <v>Não</v>
      </c>
      <c r="V54" t="str">
        <v>Ativo</v>
      </c>
      <c r="X54" t="str">
        <v>Não</v>
      </c>
      <c r="Y54" t="str">
        <v>Não</v>
      </c>
      <c r="Z54" t="str">
        <v>7 a 10 anos: Criança</v>
      </c>
      <c r="AA54" t="str">
        <v>Não</v>
      </c>
      <c r="AB54" t="str">
        <v>Sem Grupo</v>
      </c>
      <c r="AC54" xml:space="preserve">
        <f xml:space="preserve">IFERROR(MATCH(G54,{"Janeiro";"Fevereiro";"Março";"Abril";"Maio";"Junho";"Julho";"Agosto";"Setembro";"Outubro";"Novembro";"Dezembro"},0),"")
</f>
        <v>7</v>
      </c>
      <c r="AD54" t="str">
        <v/>
      </c>
    </row>
    <row r="55" xml:space="preserve">
      <c r="A55">
        <v>45613.5561953588</v>
      </c>
      <c r="B55">
        <v>54</v>
      </c>
      <c r="C55" t="str">
        <f>UPPER(D55)</f>
        <v xml:space="preserve">GUILHERME DOS PASSOS SIQUEIRA VIANA </v>
      </c>
      <c r="D55" t="str">
        <v xml:space="preserve">Guilherme dos Passos Siqueira Viana </v>
      </c>
      <c r="E55">
        <v>36683</v>
      </c>
      <c r="F55">
        <f>DATEDIF(E55,TODAY(),"Y")</f>
        <v>25</v>
      </c>
      <c r="G55" t="str">
        <f>TEXT(E55,"MMMM")</f>
        <v>junho</v>
      </c>
      <c r="H55">
        <v>27988563571</v>
      </c>
      <c r="I55" t="str">
        <v>Masculino</v>
      </c>
      <c r="K55" t="str">
        <v>Casado(a)</v>
      </c>
      <c r="L55" t="str">
        <v>Bruna Lorrani Rocha Mousinho Viana</v>
      </c>
      <c r="N55" t="str">
        <v xml:space="preserve">Ametista </v>
      </c>
      <c r="O55">
        <v>34</v>
      </c>
      <c r="P55" t="str">
        <v>São Geraldo 1</v>
      </c>
      <c r="Q55" t="str">
        <v>Cariacica</v>
      </c>
      <c r="R55" t="str">
        <v>ES</v>
      </c>
      <c r="S55">
        <v>2914677</v>
      </c>
      <c r="T55" t="str">
        <v>Sim</v>
      </c>
      <c r="U55" t="str">
        <v>Sim</v>
      </c>
      <c r="V55" t="str">
        <v>Ativo</v>
      </c>
      <c r="X55" t="str">
        <v>Não</v>
      </c>
      <c r="Y55" t="str">
        <v>Não</v>
      </c>
      <c r="Z55" t="str">
        <v>18 a 35 anos: Jovem</v>
      </c>
      <c r="AA55" t="str">
        <v>Não</v>
      </c>
      <c r="AB55" t="str">
        <v>Sem Grupo</v>
      </c>
      <c r="AC55" xml:space="preserve">
        <f xml:space="preserve">IFERROR(MATCH(G55,{"Janeiro";"Fevereiro";"Março";"Abril";"Maio";"Junho";"Julho";"Agosto";"Setembro";"Outubro";"Novembro";"Dezembro"},0),"")
</f>
        <v>6</v>
      </c>
      <c r="AD55" t="str">
        <v/>
      </c>
    </row>
    <row r="56" xml:space="preserve">
      <c r="A56">
        <v>45617.927177233796</v>
      </c>
      <c r="B56">
        <v>55</v>
      </c>
      <c r="C56" t="str">
        <f>UPPER(D56)</f>
        <v xml:space="preserve">HEITOR FERNANDES DA CRUZ </v>
      </c>
      <c r="D56" t="str">
        <v xml:space="preserve">Heitor Fernandes da Cruz </v>
      </c>
      <c r="E56">
        <v>39373</v>
      </c>
      <c r="F56">
        <f>DATEDIF(E56,TODAY(),"Y")</f>
        <v>18</v>
      </c>
      <c r="G56" t="str">
        <f>TEXT(E56,"MMMM")</f>
        <v>outubro</v>
      </c>
      <c r="H56">
        <v>27992516839</v>
      </c>
      <c r="I56" t="str">
        <v>Masculino</v>
      </c>
      <c r="J56" t="str">
        <v>Namorado da Maria Clara</v>
      </c>
      <c r="K56" t="str">
        <v>Solteiro(a)</v>
      </c>
      <c r="M56" t="str">
        <v xml:space="preserve">Andreia Fernandes Machado risso </v>
      </c>
      <c r="N56" t="str">
        <v xml:space="preserve">nossa senhora Aparecida </v>
      </c>
      <c r="O56">
        <v>83</v>
      </c>
      <c r="P56" t="str">
        <v>São Geraldo 1</v>
      </c>
      <c r="Q56" t="str">
        <v>Cariacica</v>
      </c>
      <c r="R56" t="str">
        <v>ES</v>
      </c>
      <c r="S56" t="str">
        <v>29146-653</v>
      </c>
      <c r="T56" t="str">
        <v>Sim</v>
      </c>
      <c r="U56" t="str">
        <v>Não</v>
      </c>
      <c r="V56" t="str">
        <v>Desligado</v>
      </c>
      <c r="W56" t="str">
        <v>Desligados dia 03/12/025</v>
      </c>
      <c r="X56" t="str">
        <v>Não</v>
      </c>
      <c r="Y56" t="str">
        <v>Não</v>
      </c>
      <c r="Z56" t="str">
        <v>11 a 17 anos: Adolescente</v>
      </c>
      <c r="AA56" t="str">
        <v>Não</v>
      </c>
      <c r="AB56" t="str">
        <v>Sem Grupo</v>
      </c>
      <c r="AC56" xml:space="preserve">
        <f xml:space="preserve">IFERROR(MATCH(G56,{"Janeiro";"Fevereiro";"Março";"Abril";"Maio";"Junho";"Julho";"Agosto";"Setembro";"Outubro";"Novembro";"Dezembro"},0),"")
</f>
        <v>10</v>
      </c>
      <c r="AD56" t="str">
        <v/>
      </c>
    </row>
    <row r="57" xml:space="preserve">
      <c r="A57">
        <v>45617.44173457176</v>
      </c>
      <c r="B57">
        <v>56</v>
      </c>
      <c r="C57" t="str">
        <f>UPPER(D57)</f>
        <v xml:space="preserve">HILDA FERREIRA DE OLIVEIRA </v>
      </c>
      <c r="D57" t="str">
        <v xml:space="preserve">Hilda Ferreira de Oliveira </v>
      </c>
      <c r="E57">
        <v>13610</v>
      </c>
      <c r="F57">
        <f>DATEDIF(E57,TODAY(),"Y")</f>
        <v>88</v>
      </c>
      <c r="G57" t="str">
        <f>TEXT(E57,"MMMM")</f>
        <v>abril</v>
      </c>
      <c r="H57">
        <v>27999994450</v>
      </c>
      <c r="I57" t="str">
        <v>Feminino</v>
      </c>
      <c r="J57" t="str">
        <v>Viuva</v>
      </c>
      <c r="K57" t="str">
        <v>Solteiro(a)</v>
      </c>
      <c r="N57" t="str">
        <v xml:space="preserve">Porto Seguro </v>
      </c>
      <c r="O57">
        <v>216</v>
      </c>
      <c r="P57" t="str">
        <v xml:space="preserve">Tiradentes </v>
      </c>
      <c r="Q57" t="str">
        <v>Cariacica</v>
      </c>
      <c r="R57" t="str">
        <v>ES</v>
      </c>
      <c r="S57" t="str">
        <v xml:space="preserve">29143-508 </v>
      </c>
      <c r="T57" t="str">
        <v>Sim</v>
      </c>
      <c r="U57" t="str">
        <v>Sim</v>
      </c>
      <c r="V57" t="str">
        <v>Ativo</v>
      </c>
      <c r="X57" t="str">
        <v>Não</v>
      </c>
      <c r="Y57" t="str">
        <v>Não</v>
      </c>
      <c r="Z57" t="str">
        <v>60+ anos</v>
      </c>
      <c r="AA57" t="str">
        <v>Não</v>
      </c>
      <c r="AB57" t="str">
        <v>Sem Grupo</v>
      </c>
      <c r="AC57" xml:space="preserve">
        <f xml:space="preserve">IFERROR(MATCH(G57,{"Janeiro";"Fevereiro";"Março";"Abril";"Maio";"Junho";"Julho";"Agosto";"Setembro";"Outubro";"Novembro";"Dezembro"},0),"")
</f>
        <v>4</v>
      </c>
      <c r="AD57" t="str">
        <v/>
      </c>
    </row>
    <row r="58" xml:space="preserve">
      <c r="A58">
        <v>45619.5843094213</v>
      </c>
      <c r="B58">
        <v>57</v>
      </c>
      <c r="C58" t="str">
        <f>UPPER(D58)</f>
        <v xml:space="preserve">JAIR ALVES PEREIRA </v>
      </c>
      <c r="D58" t="str">
        <v xml:space="preserve">Jair Alves Pereira </v>
      </c>
      <c r="E58">
        <v>18151</v>
      </c>
      <c r="F58">
        <f>DATEDIF(E58,TODAY(),"Y")</f>
        <v>76</v>
      </c>
      <c r="G58" t="str">
        <f>TEXT(E58,"MMMM")</f>
        <v>setembro</v>
      </c>
      <c r="H58">
        <v>27998094438</v>
      </c>
      <c r="I58" t="str">
        <v>Masculino</v>
      </c>
      <c r="K58" t="str">
        <v>Casado(a)</v>
      </c>
      <c r="L58" t="str">
        <v xml:space="preserve">Elita da Penha Pego Pereira </v>
      </c>
      <c r="N58" t="str">
        <v xml:space="preserve">São João do Acre </v>
      </c>
      <c r="O58">
        <v>68</v>
      </c>
      <c r="P58" t="str">
        <v xml:space="preserve">Vila palestina </v>
      </c>
      <c r="Q58" t="str">
        <v>Cariacica</v>
      </c>
      <c r="R58" t="str">
        <v>ES</v>
      </c>
      <c r="S58">
        <v>29145790</v>
      </c>
      <c r="T58" t="str">
        <v>Sim</v>
      </c>
      <c r="U58" t="str">
        <v>Não</v>
      </c>
      <c r="V58" t="str">
        <v>Desligado</v>
      </c>
      <c r="X58" t="str">
        <v>Não</v>
      </c>
      <c r="Y58" t="str">
        <v>Não</v>
      </c>
      <c r="Z58" t="str">
        <v>60+ anos</v>
      </c>
      <c r="AA58" t="str">
        <v>Não</v>
      </c>
      <c r="AB58" t="str">
        <v>Sem Grupo</v>
      </c>
      <c r="AC58" xml:space="preserve">
        <f xml:space="preserve">IFERROR(MATCH(G58,{"Janeiro";"Fevereiro";"Março";"Abril";"Maio";"Junho";"Julho";"Agosto";"Setembro";"Outubro";"Novembro";"Dezembro"},0),"")
</f>
        <v>9</v>
      </c>
      <c r="AD58" t="str">
        <v/>
      </c>
    </row>
    <row r="59" xml:space="preserve">
      <c r="A59">
        <v>45617.347074756944</v>
      </c>
      <c r="B59">
        <v>58</v>
      </c>
      <c r="C59" t="str">
        <f>UPPER(D59)</f>
        <v xml:space="preserve">JEAN CARLOS BERGAMINI </v>
      </c>
      <c r="D59" t="str">
        <v xml:space="preserve">Jean Carlos Bergamini </v>
      </c>
      <c r="E59">
        <v>27303</v>
      </c>
      <c r="F59">
        <f>DATEDIF(E59,TODAY(),"Y")</f>
        <v>51</v>
      </c>
      <c r="G59" t="str">
        <f>TEXT(E59,"MMMM")</f>
        <v>outubro</v>
      </c>
      <c r="H59">
        <v>27999036505</v>
      </c>
      <c r="I59" t="str">
        <v>Masculino</v>
      </c>
      <c r="K59" t="str">
        <v>Casado(a)</v>
      </c>
      <c r="L59" t="str">
        <v xml:space="preserve">Maria José Bergamini </v>
      </c>
      <c r="N59" t="str">
        <v xml:space="preserve">Itabira </v>
      </c>
      <c r="O59">
        <v>38</v>
      </c>
      <c r="P59" t="str">
        <v xml:space="preserve">São Geraldo 2 </v>
      </c>
      <c r="Q59" t="str">
        <v>Cariacica</v>
      </c>
      <c r="R59" t="str">
        <v>ES</v>
      </c>
      <c r="S59">
        <v>29146840</v>
      </c>
      <c r="T59" t="str">
        <v>Sim</v>
      </c>
      <c r="U59" t="str">
        <v>Sim</v>
      </c>
      <c r="V59" t="str">
        <v>Ativo</v>
      </c>
      <c r="X59" t="str">
        <v>Não</v>
      </c>
      <c r="Y59" t="str">
        <v>Não</v>
      </c>
      <c r="Z59" t="str">
        <v>36 a 59 anos: Adulto</v>
      </c>
      <c r="AA59" t="str">
        <v>Não</v>
      </c>
      <c r="AB59" t="str">
        <v>Sem Grupo</v>
      </c>
      <c r="AC59" xml:space="preserve">
        <f xml:space="preserve">IFERROR(MATCH(G59,{"Janeiro";"Fevereiro";"Março";"Abril";"Maio";"Junho";"Julho";"Agosto";"Setembro";"Outubro";"Novembro";"Dezembro"},0),"")
</f>
        <v>10</v>
      </c>
      <c r="AD59" t="str">
        <v/>
      </c>
    </row>
    <row r="60" xml:space="preserve">
      <c r="A60">
        <v>45614.75368252315</v>
      </c>
      <c r="B60">
        <v>59</v>
      </c>
      <c r="C60" t="str">
        <f>UPPER(D60)</f>
        <v>JHONATAN DE SOUZA ANDRADE</v>
      </c>
      <c r="D60" t="str">
        <v>Jhonatan de Souza Andrade</v>
      </c>
      <c r="E60">
        <v>34088</v>
      </c>
      <c r="F60">
        <f>DATEDIF(E60,TODAY(),"Y")</f>
        <v>32</v>
      </c>
      <c r="G60" t="str">
        <f>TEXT(E60,"MMMM")</f>
        <v>abril</v>
      </c>
      <c r="H60">
        <v>27999653596</v>
      </c>
      <c r="I60" t="str">
        <v>Masculino</v>
      </c>
      <c r="K60" t="str">
        <v>Casado(a)</v>
      </c>
      <c r="L60" t="str">
        <v>Grezieli Rocha Mousinho Andrade</v>
      </c>
      <c r="N60" t="str">
        <v xml:space="preserve">Crisólito </v>
      </c>
      <c r="O60">
        <v>18</v>
      </c>
      <c r="P60" t="str">
        <v>São Geraldo 1</v>
      </c>
      <c r="Q60" t="str">
        <v>Cariacica</v>
      </c>
      <c r="R60" t="str">
        <v>ES</v>
      </c>
      <c r="S60">
        <v>29146605</v>
      </c>
      <c r="T60" t="str">
        <v>Sim</v>
      </c>
      <c r="U60" t="str">
        <v>Sim</v>
      </c>
      <c r="V60" t="str">
        <v>Ativo</v>
      </c>
      <c r="X60" t="str">
        <v>Não</v>
      </c>
      <c r="Y60" t="str">
        <v>Não</v>
      </c>
      <c r="Z60" t="str">
        <v>18 a 35 anos: Jovem</v>
      </c>
      <c r="AA60" t="str">
        <v>Não</v>
      </c>
      <c r="AB60" t="str">
        <v>Sem Grupo</v>
      </c>
      <c r="AC60" xml:space="preserve">
        <f xml:space="preserve">IFERROR(MATCH(G60,{"Janeiro";"Fevereiro";"Março";"Abril";"Maio";"Junho";"Julho";"Agosto";"Setembro";"Outubro";"Novembro";"Dezembro"},0),"")
</f>
        <v>4</v>
      </c>
      <c r="AD60" t="str">
        <v/>
      </c>
    </row>
    <row r="61" xml:space="preserve">
      <c r="A61">
        <v>45614.54267747686</v>
      </c>
      <c r="B61">
        <v>60</v>
      </c>
      <c r="C61" t="str">
        <f>UPPER(D61)</f>
        <v xml:space="preserve">JILVANETE LIMA DOS SANTOS </v>
      </c>
      <c r="D61" t="str">
        <v xml:space="preserve">JILVANETE LIMA DOS SANTOS </v>
      </c>
      <c r="E61">
        <v>31388</v>
      </c>
      <c r="F61">
        <f>DATEDIF(E61,TODAY(),"Y")</f>
        <v>40</v>
      </c>
      <c r="G61" t="str">
        <f>TEXT(E61,"MMMM")</f>
        <v>dezembro</v>
      </c>
      <c r="H61">
        <v>27995298253</v>
      </c>
      <c r="I61" t="str">
        <v>Feminino</v>
      </c>
      <c r="K61" t="str">
        <v>Casado(a)</v>
      </c>
      <c r="L61" t="str">
        <v xml:space="preserve">GLÊNIO ABADIS DOS SANTOS </v>
      </c>
      <c r="N61" t="str">
        <v>Orizonte feliz</v>
      </c>
      <c r="O61" t="str">
        <v>02</v>
      </c>
      <c r="P61" t="str">
        <v>Campina Grande</v>
      </c>
      <c r="Q61" t="str">
        <v>Cariacica</v>
      </c>
      <c r="R61" t="str">
        <v>ES</v>
      </c>
      <c r="S61">
        <v>29144306</v>
      </c>
      <c r="T61" t="str">
        <v>Sim</v>
      </c>
      <c r="U61" t="str">
        <v>Sim</v>
      </c>
      <c r="V61" t="str">
        <v>Ativo</v>
      </c>
      <c r="X61" t="str">
        <v>Não</v>
      </c>
      <c r="Y61" t="str">
        <v>Não</v>
      </c>
      <c r="Z61" t="str">
        <v>36 a 59 anos: Adulto</v>
      </c>
      <c r="AA61" t="str">
        <v>Não</v>
      </c>
      <c r="AB61" t="str">
        <v>Sem Grupo</v>
      </c>
      <c r="AC61" xml:space="preserve">
        <f xml:space="preserve">IFERROR(MATCH(G61,{"Janeiro";"Fevereiro";"Março";"Abril";"Maio";"Junho";"Julho";"Agosto";"Setembro";"Outubro";"Novembro";"Dezembro"},0),"")
</f>
        <v>12</v>
      </c>
      <c r="AD61" t="str">
        <v/>
      </c>
    </row>
    <row r="62" xml:space="preserve">
      <c r="A62">
        <v>45623.643798136574</v>
      </c>
      <c r="B62">
        <v>61</v>
      </c>
      <c r="C62" t="str">
        <f>UPPER(D62)</f>
        <v xml:space="preserve">JOÃO PEDRO DE OLIVEIRA MOTA </v>
      </c>
      <c r="D62" t="str">
        <v xml:space="preserve">João Pedro de Oliveira Mota </v>
      </c>
      <c r="E62">
        <v>41495</v>
      </c>
      <c r="F62">
        <f>DATEDIF(E62,TODAY(),"Y")</f>
        <v>12</v>
      </c>
      <c r="G62" t="str">
        <f>TEXT(E62,"MMMM")</f>
        <v>agosto</v>
      </c>
      <c r="H62">
        <v>27999073240</v>
      </c>
      <c r="I62" t="str">
        <v>Masculino</v>
      </c>
      <c r="K62" t="str">
        <v>Solteiro(a)</v>
      </c>
      <c r="M62" t="str">
        <v>Neudimar de oliveira mota</v>
      </c>
      <c r="N62" t="str">
        <v xml:space="preserve">Evaristo canal </v>
      </c>
      <c r="O62">
        <v>52</v>
      </c>
      <c r="P62" t="str">
        <v xml:space="preserve">Ipanema </v>
      </c>
      <c r="Q62" t="str">
        <v>Viana</v>
      </c>
      <c r="R62" t="str">
        <v>ES</v>
      </c>
      <c r="S62">
        <v>29134513</v>
      </c>
      <c r="T62" t="str">
        <v>Sim</v>
      </c>
      <c r="U62" t="str">
        <v>Sim</v>
      </c>
      <c r="V62" t="str">
        <v>Ativo</v>
      </c>
      <c r="X62" t="str">
        <v>Não</v>
      </c>
      <c r="Y62" t="str">
        <v>Não</v>
      </c>
      <c r="Z62" t="str">
        <v>11 a 17 anos: Adolescente</v>
      </c>
      <c r="AA62" t="str">
        <v>Não</v>
      </c>
      <c r="AB62" t="str">
        <v>Sem Grupo</v>
      </c>
      <c r="AC62" xml:space="preserve">
        <f xml:space="preserve">IFERROR(MATCH(G62,{"Janeiro";"Fevereiro";"Março";"Abril";"Maio";"Junho";"Julho";"Agosto";"Setembro";"Outubro";"Novembro";"Dezembro"},0),"")
</f>
        <v>8</v>
      </c>
      <c r="AD62" t="str">
        <v/>
      </c>
    </row>
    <row r="63" xml:space="preserve">
      <c r="A63">
        <v>45617.43956925926</v>
      </c>
      <c r="B63">
        <v>62</v>
      </c>
      <c r="C63" t="str">
        <f>UPPER(D63)</f>
        <v xml:space="preserve">JOSCILEIA FERREIRA DE OLIVEIRA </v>
      </c>
      <c r="D63" t="str">
        <v xml:space="preserve">Joscileia Ferreira de Oliveira </v>
      </c>
      <c r="E63">
        <v>27999</v>
      </c>
      <c r="F63">
        <f>DATEDIF(E63,TODAY(),"Y")</f>
        <v>49</v>
      </c>
      <c r="G63" t="str">
        <f>TEXT(E63,"MMMM")</f>
        <v>agosto</v>
      </c>
      <c r="H63">
        <v>27999994450</v>
      </c>
      <c r="I63" t="str">
        <v>Feminino</v>
      </c>
      <c r="K63" t="str">
        <v>Casado(a)</v>
      </c>
      <c r="L63" t="str">
        <v xml:space="preserve">Flávio Siqueira </v>
      </c>
      <c r="N63" t="str">
        <v xml:space="preserve">Porto Seguro </v>
      </c>
      <c r="O63">
        <v>206</v>
      </c>
      <c r="P63" t="str">
        <v>Tiradentes</v>
      </c>
      <c r="Q63" t="str">
        <v>Cariacica</v>
      </c>
      <c r="R63" t="str">
        <v>ES</v>
      </c>
      <c r="S63" t="str">
        <v xml:space="preserve">29143-508 </v>
      </c>
      <c r="T63" t="str">
        <v>Sim</v>
      </c>
      <c r="U63" t="str">
        <v>Sim</v>
      </c>
      <c r="V63" t="str">
        <v>Ativo</v>
      </c>
      <c r="X63" t="str">
        <v>Não</v>
      </c>
      <c r="Y63" t="str">
        <v>Sim</v>
      </c>
      <c r="Z63" t="str">
        <v>36 a 59 anos: Adulto</v>
      </c>
      <c r="AA63" t="str">
        <v>Não</v>
      </c>
      <c r="AB63" t="str">
        <v>Sem Grupo</v>
      </c>
      <c r="AC63" xml:space="preserve">
        <f xml:space="preserve">IFERROR(MATCH(G63,{"Janeiro";"Fevereiro";"Março";"Abril";"Maio";"Junho";"Julho";"Agosto";"Setembro";"Outubro";"Novembro";"Dezembro"},0),"")
</f>
        <v>8</v>
      </c>
      <c r="AD63" t="str">
        <v/>
      </c>
    </row>
    <row r="64" xml:space="preserve">
      <c r="A64">
        <v>45621.86603233796</v>
      </c>
      <c r="B64">
        <v>63</v>
      </c>
      <c r="C64" t="str">
        <f>UPPER(D64)</f>
        <v xml:space="preserve">JOSEPH DAS NEVES AZEVEDO </v>
      </c>
      <c r="D64" t="str">
        <v xml:space="preserve">Joseph das Neves Azevedo </v>
      </c>
      <c r="E64">
        <v>31806</v>
      </c>
      <c r="F64">
        <f>DATEDIF(E64,TODAY(),"Y")</f>
        <v>38</v>
      </c>
      <c r="G64" t="str">
        <f>TEXT(E64,"MMMM")</f>
        <v>janeiro</v>
      </c>
      <c r="H64">
        <v>27998965321</v>
      </c>
      <c r="I64" t="str">
        <v>Masculino</v>
      </c>
      <c r="K64" t="str">
        <v>Casado(a)</v>
      </c>
      <c r="L64" t="str">
        <v>Michelle Cornélio de Lima Azevedo</v>
      </c>
      <c r="N64" t="str">
        <v xml:space="preserve">Rua Bela Vista </v>
      </c>
      <c r="O64">
        <v>15</v>
      </c>
      <c r="P64" t="str">
        <v xml:space="preserve">Arlindo Vilaschi </v>
      </c>
      <c r="Q64" t="str">
        <v>Viana</v>
      </c>
      <c r="R64" t="str">
        <v>ES</v>
      </c>
      <c r="S64">
        <v>29136180</v>
      </c>
      <c r="T64" t="str">
        <v>Sim</v>
      </c>
      <c r="U64" t="str">
        <v>Sim</v>
      </c>
      <c r="V64" t="str">
        <v>Ativo</v>
      </c>
      <c r="X64" t="str">
        <v>Não</v>
      </c>
      <c r="Y64" t="str">
        <v>Não</v>
      </c>
      <c r="Z64" t="str">
        <v>36 a 59 anos: Adulto</v>
      </c>
      <c r="AA64" t="str">
        <v>Não</v>
      </c>
      <c r="AB64" t="str">
        <v>Sem Grupo</v>
      </c>
      <c r="AC64" xml:space="preserve">
        <f xml:space="preserve">IFERROR(MATCH(G64,{"Janeiro";"Fevereiro";"Março";"Abril";"Maio";"Junho";"Julho";"Agosto";"Setembro";"Outubro";"Novembro";"Dezembro"},0),"")
</f>
        <v>1</v>
      </c>
      <c r="AD64" t="str">
        <v/>
      </c>
    </row>
    <row r="65" xml:space="preserve">
      <c r="A65">
        <v>45614.72347510417</v>
      </c>
      <c r="B65">
        <v>64</v>
      </c>
      <c r="C65" t="str">
        <f>UPPER(D65)</f>
        <v xml:space="preserve">JOSHUA ADAM CRUZ DE SOUSA </v>
      </c>
      <c r="D65" t="str">
        <v xml:space="preserve">JOSHUA ADAM CRUZ DE SOUSA </v>
      </c>
      <c r="E65">
        <v>41368</v>
      </c>
      <c r="F65">
        <f>DATEDIF(E65,TODAY(),"Y")</f>
        <v>12</v>
      </c>
      <c r="G65" t="str">
        <f>TEXT(E65,"MMMM")</f>
        <v>abril</v>
      </c>
      <c r="H65">
        <v>27999879406</v>
      </c>
      <c r="I65" t="str">
        <v>Masculino</v>
      </c>
      <c r="K65" t="str">
        <v>Solteiro(a)</v>
      </c>
      <c r="M65" t="str">
        <v xml:space="preserve">ADELIDIA DE AZEVEDO CRUZ </v>
      </c>
      <c r="N65" t="str">
        <v xml:space="preserve">BOM PASTOR </v>
      </c>
      <c r="O65">
        <v>39</v>
      </c>
      <c r="P65" t="str">
        <v>Campo Grande</v>
      </c>
      <c r="Q65" t="str">
        <v>Cariacica</v>
      </c>
      <c r="R65" t="str">
        <v>ES</v>
      </c>
      <c r="S65" t="str">
        <v>29146-060</v>
      </c>
      <c r="T65" t="str">
        <v>Sim</v>
      </c>
      <c r="U65" t="str">
        <v>Sim</v>
      </c>
      <c r="V65" t="str">
        <v>Ativo</v>
      </c>
      <c r="X65" t="str">
        <v>Não</v>
      </c>
      <c r="Y65" t="str">
        <v>Não</v>
      </c>
      <c r="Z65" t="str">
        <v>11 a 17 anos: Adolescente</v>
      </c>
      <c r="AA65" t="str">
        <v>Não</v>
      </c>
      <c r="AB65" t="str">
        <v>Sem Grupo</v>
      </c>
      <c r="AC65" xml:space="preserve">
        <f xml:space="preserve">IFERROR(MATCH(G65,{"Janeiro";"Fevereiro";"Março";"Abril";"Maio";"Junho";"Julho";"Agosto";"Setembro";"Outubro";"Novembro";"Dezembro"},0),"")
</f>
        <v>4</v>
      </c>
      <c r="AD65" t="str">
        <v/>
      </c>
    </row>
    <row r="66" xml:space="preserve">
      <c r="A66">
        <v>45914.92818663194</v>
      </c>
      <c r="B66">
        <v>65</v>
      </c>
      <c r="C66" t="str">
        <f>UPPER(D66)</f>
        <v>JULIANO LOVATTI RAMOS</v>
      </c>
      <c r="D66" t="str">
        <v>Juliano lovatti ramos</v>
      </c>
      <c r="E66">
        <v>29075</v>
      </c>
      <c r="F66">
        <f>DATEDIF(E66,TODAY(),"Y")</f>
        <v>46</v>
      </c>
      <c r="G66" t="str">
        <f>TEXT(E66,"MMMM")</f>
        <v>agosto</v>
      </c>
      <c r="H66">
        <v>27988511191</v>
      </c>
      <c r="I66" t="str">
        <v>Masculino</v>
      </c>
      <c r="K66" t="str">
        <v>Casado(a)</v>
      </c>
      <c r="L66" t="str">
        <v>Miriam da Rocha pina</v>
      </c>
      <c r="M66" t="str">
        <v>Esposa</v>
      </c>
      <c r="N66" t="str">
        <v xml:space="preserve">Rua São Luiz </v>
      </c>
      <c r="O66">
        <v>230</v>
      </c>
      <c r="P66" t="str">
        <v>Itangua</v>
      </c>
      <c r="Q66" t="str">
        <v>Cariacica</v>
      </c>
      <c r="R66" t="str">
        <v>ES</v>
      </c>
      <c r="S66">
        <v>29149771</v>
      </c>
      <c r="T66" t="str">
        <v>Sim</v>
      </c>
      <c r="U66" t="str">
        <v>Sim</v>
      </c>
      <c r="V66" t="str">
        <v>Ativo</v>
      </c>
      <c r="X66" t="str">
        <v>Não</v>
      </c>
      <c r="Y66" t="str">
        <v>Não</v>
      </c>
      <c r="Z66" t="str">
        <v>36 a 59 anos: Adulto</v>
      </c>
      <c r="AA66" t="str">
        <v>Não</v>
      </c>
      <c r="AB66" t="str">
        <v>Sem Grupo</v>
      </c>
      <c r="AC66" xml:space="preserve">
        <f xml:space="preserve">IFERROR(MATCH(G66,{"Janeiro";"Fevereiro";"Março";"Abril";"Maio";"Junho";"Julho";"Agosto";"Setembro";"Outubro";"Novembro";"Dezembro"},0),"")
</f>
        <v>8</v>
      </c>
      <c r="AD66" t="str">
        <v/>
      </c>
    </row>
    <row r="67" xml:space="preserve">
      <c r="A67">
        <v>45839.37555493056</v>
      </c>
      <c r="B67">
        <v>66</v>
      </c>
      <c r="C67" t="str">
        <f>UPPER(D67)</f>
        <v xml:space="preserve">JÚLIO CÉSAR SPERANDIO GOUVEIA </v>
      </c>
      <c r="D67" t="str">
        <v xml:space="preserve">Júlio César Sperandio Gouveia </v>
      </c>
      <c r="E67">
        <v>28766</v>
      </c>
      <c r="F67">
        <f>DATEDIF(E67,TODAY(),"Y")</f>
        <v>47</v>
      </c>
      <c r="G67" t="str">
        <f>TEXT(E67,"MMMM")</f>
        <v>outubro</v>
      </c>
      <c r="H67" t="str">
        <v>027996673447</v>
      </c>
      <c r="I67" t="str">
        <v>Masculino</v>
      </c>
      <c r="K67" t="str">
        <v>Casado(a)</v>
      </c>
      <c r="L67" t="str">
        <v xml:space="preserve">Layane Ferreira de Morais </v>
      </c>
      <c r="N67" t="str">
        <v xml:space="preserve">Otávio Cardoso de Alcântara </v>
      </c>
      <c r="O67">
        <v>67</v>
      </c>
      <c r="P67" t="str">
        <v xml:space="preserve">Morada de santa fé </v>
      </c>
      <c r="Q67" t="str">
        <v>Cariacica</v>
      </c>
      <c r="R67" t="str">
        <v>ES</v>
      </c>
      <c r="S67">
        <v>29143650</v>
      </c>
      <c r="T67" t="str">
        <v>Sim</v>
      </c>
      <c r="U67" t="str">
        <v>Sim</v>
      </c>
      <c r="V67" t="str">
        <v>Ativo</v>
      </c>
      <c r="X67" t="str">
        <v>Não</v>
      </c>
      <c r="Y67" t="str">
        <v>Não</v>
      </c>
      <c r="Z67" t="str">
        <v>36 a 59 anos: Adulto</v>
      </c>
      <c r="AA67" t="str">
        <v>Não</v>
      </c>
      <c r="AB67" t="str">
        <v>Sem Grupo</v>
      </c>
      <c r="AC67" xml:space="preserve">
        <f xml:space="preserve">IFERROR(MATCH(G67,{"Janeiro";"Fevereiro";"Março";"Abril";"Maio";"Junho";"Julho";"Agosto";"Setembro";"Outubro";"Novembro";"Dezembro"},0),"")
</f>
        <v>10</v>
      </c>
      <c r="AD67" t="str">
        <v/>
      </c>
    </row>
    <row r="68" xml:space="preserve">
      <c r="A68">
        <v>45621.78534333334</v>
      </c>
      <c r="B68">
        <v>67</v>
      </c>
      <c r="C68" t="str">
        <f>UPPER(D68)</f>
        <v xml:space="preserve">KALEBE HENRIQUE SOUZA MATOS MOURA </v>
      </c>
      <c r="D68" t="str">
        <v xml:space="preserve">Kalebe Henrique Souza Matos Moura </v>
      </c>
      <c r="E68">
        <v>42358</v>
      </c>
      <c r="F68">
        <f>DATEDIF(E68,TODAY(),"Y")</f>
        <v>9</v>
      </c>
      <c r="G68" t="str">
        <f>TEXT(E68,"MMMM")</f>
        <v>dezembro</v>
      </c>
      <c r="H68">
        <v>27997566031</v>
      </c>
      <c r="I68" t="str">
        <v>Masculino</v>
      </c>
      <c r="K68" t="str">
        <v>Solteiro(a)</v>
      </c>
      <c r="M68" t="str">
        <v xml:space="preserve">Bruna Luiza Souza Silva de Jesus </v>
      </c>
      <c r="N68" t="str">
        <v xml:space="preserve">São Benedito </v>
      </c>
      <c r="O68">
        <v>48</v>
      </c>
      <c r="P68" t="str">
        <v xml:space="preserve">Cruzeiro do Sul </v>
      </c>
      <c r="Q68" t="str">
        <v>Cariacica</v>
      </c>
      <c r="R68" t="str">
        <v>ES</v>
      </c>
      <c r="S68">
        <v>29144040</v>
      </c>
      <c r="T68" t="str">
        <v>Sim</v>
      </c>
      <c r="U68" t="str">
        <v>Sim</v>
      </c>
      <c r="V68" t="str">
        <v>Desligado</v>
      </c>
      <c r="W68" t="str">
        <v>Eles estão indo para a Assembleia de Deus. Segundo a Bruna, eles já estavam acostumados lá. O pastor abençoou e liberou todos.</v>
      </c>
      <c r="X68" t="str">
        <v>Não</v>
      </c>
      <c r="Y68" t="str">
        <v>Não</v>
      </c>
      <c r="Z68" t="str">
        <v>7 a 10 anos: Criança</v>
      </c>
      <c r="AA68" t="str">
        <v>Não</v>
      </c>
      <c r="AB68" t="str">
        <v>Sem Grupo</v>
      </c>
      <c r="AC68" xml:space="preserve">
        <f xml:space="preserve">IFERROR(MATCH(G68,{"Janeiro";"Fevereiro";"Março";"Abril";"Maio";"Junho";"Julho";"Agosto";"Setembro";"Outubro";"Novembro";"Dezembro"},0),"")
</f>
        <v>12</v>
      </c>
      <c r="AD68" t="str">
        <v/>
      </c>
    </row>
    <row r="69" xml:space="preserve">
      <c r="A69">
        <v>45617.43522642361</v>
      </c>
      <c r="B69">
        <v>68</v>
      </c>
      <c r="C69" t="str">
        <f>UPPER(D69)</f>
        <v xml:space="preserve">KAROLINE MARIANELLI DE SOUZA </v>
      </c>
      <c r="D69" t="str">
        <v xml:space="preserve">Karoline Marianelli de Souza </v>
      </c>
      <c r="E69">
        <v>34921</v>
      </c>
      <c r="F69">
        <f>DATEDIF(E69,TODAY(),"Y")</f>
        <v>30</v>
      </c>
      <c r="G69" t="str">
        <f>TEXT(E69,"MMMM")</f>
        <v>agosto</v>
      </c>
      <c r="H69">
        <v>27998675533</v>
      </c>
      <c r="I69" t="str">
        <v>Feminino</v>
      </c>
      <c r="K69" t="str">
        <v>Solteiro(a)</v>
      </c>
      <c r="N69" t="str">
        <v xml:space="preserve">Cruzadas </v>
      </c>
      <c r="O69">
        <v>13</v>
      </c>
      <c r="P69" t="str">
        <v>Vila Palestina</v>
      </c>
      <c r="Q69" t="str">
        <v>Cariacica</v>
      </c>
      <c r="R69" t="str">
        <v>ES</v>
      </c>
      <c r="S69" t="str">
        <v>29145-820</v>
      </c>
      <c r="T69" t="str">
        <v>Sim</v>
      </c>
      <c r="U69" t="str">
        <v>Não</v>
      </c>
      <c r="V69" t="str">
        <v>Desligado</v>
      </c>
      <c r="W69" t="str">
        <v>Desligados dia 03/12/025</v>
      </c>
      <c r="X69" t="str">
        <v>Não</v>
      </c>
      <c r="Y69" t="str">
        <v>Não</v>
      </c>
      <c r="Z69" t="str">
        <v>18 a 35 anos: Jovem</v>
      </c>
      <c r="AA69" t="str">
        <v>Não</v>
      </c>
      <c r="AB69" t="str">
        <v>Sem Grupo</v>
      </c>
      <c r="AC69" xml:space="preserve">
        <f xml:space="preserve">IFERROR(MATCH(G69,{"Janeiro";"Fevereiro";"Março";"Abril";"Maio";"Junho";"Julho";"Agosto";"Setembro";"Outubro";"Novembro";"Dezembro"},0),"")
</f>
        <v>8</v>
      </c>
      <c r="AD69" t="str">
        <v/>
      </c>
    </row>
    <row r="70" xml:space="preserve">
      <c r="A70">
        <v>45802.359819791665</v>
      </c>
      <c r="B70">
        <v>69</v>
      </c>
      <c r="C70" t="str">
        <f>UPPER(D70)</f>
        <v xml:space="preserve">KESYA PEREIRA DE OLIVEIRA LIRA QUEIROZ </v>
      </c>
      <c r="D70" t="str">
        <v xml:space="preserve">Kesya pereira de oliveira lira Queiroz </v>
      </c>
      <c r="E70">
        <v>36133</v>
      </c>
      <c r="F70">
        <f>DATEDIF(E70,TODAY(),"Y")</f>
        <v>27</v>
      </c>
      <c r="G70" t="str">
        <f>TEXT(E70,"MMMM")</f>
        <v>dezembro</v>
      </c>
      <c r="H70">
        <v>27988790012</v>
      </c>
      <c r="I70" t="str">
        <v>Feminino</v>
      </c>
      <c r="L70" t="str">
        <v xml:space="preserve">Luiz Fernando Silva Queiroz lira </v>
      </c>
      <c r="M70" t="str">
        <v xml:space="preserve">Esposa </v>
      </c>
      <c r="N70" t="str">
        <v xml:space="preserve">São Paulo dos apóstolos </v>
      </c>
      <c r="O70">
        <v>182</v>
      </c>
      <c r="P70" t="str">
        <v>Tucum</v>
      </c>
      <c r="Q70" t="str">
        <v>Cariacica</v>
      </c>
      <c r="R70" t="str">
        <v>ES</v>
      </c>
      <c r="S70">
        <v>29152395</v>
      </c>
      <c r="T70" t="str">
        <v>Sim</v>
      </c>
      <c r="U70" t="str">
        <v>Sim</v>
      </c>
      <c r="V70" t="str">
        <v>Ativo</v>
      </c>
      <c r="X70" t="str">
        <v>Não</v>
      </c>
      <c r="Y70" t="str">
        <v>Não</v>
      </c>
      <c r="Z70" t="str">
        <v>18 a 35 anos: Jovem</v>
      </c>
      <c r="AA70" t="str">
        <v>Não</v>
      </c>
      <c r="AB70" t="str">
        <v>Sem Grupo</v>
      </c>
      <c r="AC70" xml:space="preserve">
        <f xml:space="preserve">IFERROR(MATCH(G70,{"Janeiro";"Fevereiro";"Março";"Abril";"Maio";"Junho";"Julho";"Agosto";"Setembro";"Outubro";"Novembro";"Dezembro"},0),"")
</f>
        <v>12</v>
      </c>
      <c r="AD70" t="str">
        <v/>
      </c>
    </row>
    <row r="71" xml:space="preserve">
      <c r="A71">
        <v>45614.71658284722</v>
      </c>
      <c r="B71">
        <v>70</v>
      </c>
      <c r="C71" t="str">
        <f>UPPER(D71)</f>
        <v xml:space="preserve">LAIS MARIA PEREIRA DA CRUZ </v>
      </c>
      <c r="D71" t="str">
        <v xml:space="preserve">Lais Maria Pereira da Cruz </v>
      </c>
      <c r="E71">
        <v>40177</v>
      </c>
      <c r="F71">
        <f>DATEDIF(E71,TODAY(),"Y")</f>
        <v>15</v>
      </c>
      <c r="G71" t="str">
        <f>TEXT(E71,"MMMM")</f>
        <v>dezembro</v>
      </c>
      <c r="H71">
        <v>27996569535</v>
      </c>
      <c r="I71" t="str">
        <v>Feminino</v>
      </c>
      <c r="K71" t="str">
        <v>Solteiro(a)</v>
      </c>
      <c r="M71" t="str">
        <v xml:space="preserve">Lindalva de Castro Pereira da Cruz </v>
      </c>
      <c r="N71" t="str">
        <v xml:space="preserve">Av Glauber Rocha </v>
      </c>
      <c r="O71">
        <v>109</v>
      </c>
      <c r="P71" t="str">
        <v xml:space="preserve">Morada de santa fé </v>
      </c>
      <c r="Q71" t="str">
        <v>Cariacica</v>
      </c>
      <c r="R71" t="str">
        <v>ES</v>
      </c>
      <c r="S71">
        <v>29143732</v>
      </c>
      <c r="T71" t="str">
        <v>Sim</v>
      </c>
      <c r="U71" t="str">
        <v>Sim</v>
      </c>
      <c r="V71" t="str">
        <v>Ativo</v>
      </c>
      <c r="X71" t="str">
        <v>Não</v>
      </c>
      <c r="Y71" t="str">
        <v>Não</v>
      </c>
      <c r="Z71" t="str">
        <v>11 a 17 anos: Adolescente</v>
      </c>
      <c r="AA71" t="str">
        <v>Não</v>
      </c>
      <c r="AB71" t="str">
        <v>Sem Grupo</v>
      </c>
      <c r="AC71" xml:space="preserve">
        <f xml:space="preserve">IFERROR(MATCH(G71,{"Janeiro";"Fevereiro";"Março";"Abril";"Maio";"Junho";"Julho";"Agosto";"Setembro";"Outubro";"Novembro";"Dezembro"},0),"")
</f>
        <v>12</v>
      </c>
      <c r="AD71" t="str">
        <v/>
      </c>
    </row>
    <row r="72" xml:space="preserve">
      <c r="A72">
        <v>45614.52901002315</v>
      </c>
      <c r="B72">
        <v>71</v>
      </c>
      <c r="C72" t="str">
        <f>UPPER(D72)</f>
        <v>LAÍS MARTINS MONTEIRO LOPES</v>
      </c>
      <c r="D72" t="str">
        <v>Laís Martins Monteiro Lopes</v>
      </c>
      <c r="E72">
        <v>33969</v>
      </c>
      <c r="F72">
        <f>DATEDIF(E72,TODAY(),"Y")</f>
        <v>32</v>
      </c>
      <c r="G72" t="str">
        <f>TEXT(E72,"MMMM")</f>
        <v>dezembro</v>
      </c>
      <c r="H72">
        <v>27998626144</v>
      </c>
      <c r="I72" t="str">
        <v>Feminino</v>
      </c>
      <c r="K72" t="str">
        <v>Casado(a)</v>
      </c>
      <c r="L72" t="str">
        <v>Diego Lopes</v>
      </c>
      <c r="N72" t="str">
        <v>Boa Vista</v>
      </c>
      <c r="O72">
        <v>509</v>
      </c>
      <c r="P72" t="str">
        <v>São Benedito</v>
      </c>
      <c r="Q72" t="str">
        <v>Cariacica</v>
      </c>
      <c r="R72" t="str">
        <v>ES</v>
      </c>
      <c r="S72">
        <v>29145334</v>
      </c>
      <c r="T72" t="str">
        <v>Sim</v>
      </c>
      <c r="U72" t="str">
        <v>Sim</v>
      </c>
      <c r="V72" t="str">
        <v>Ativo</v>
      </c>
      <c r="X72" t="str">
        <v>Sim</v>
      </c>
      <c r="Y72" t="str">
        <v>Sim</v>
      </c>
      <c r="Z72" t="str">
        <v>18 a 35 anos: Jovem</v>
      </c>
      <c r="AA72" t="str">
        <v>Não</v>
      </c>
      <c r="AB72" t="str">
        <v>Sem Grupo</v>
      </c>
      <c r="AC72" xml:space="preserve">
        <f xml:space="preserve">IFERROR(MATCH(G72,{"Janeiro";"Fevereiro";"Março";"Abril";"Maio";"Junho";"Julho";"Agosto";"Setembro";"Outubro";"Novembro";"Dezembro"},0),"")
</f>
        <v>12</v>
      </c>
      <c r="AD72" t="str">
        <v/>
      </c>
    </row>
    <row r="73" xml:space="preserve">
      <c r="A73">
        <v>45617.565857361114</v>
      </c>
      <c r="B73">
        <v>72</v>
      </c>
      <c r="C73" t="str">
        <f>UPPER(D73)</f>
        <v>LARA PEREIRA LIMA</v>
      </c>
      <c r="D73" t="str">
        <v>Lara Pereira Lima</v>
      </c>
      <c r="E73">
        <v>43356</v>
      </c>
      <c r="F73">
        <f>DATEDIF(E73,TODAY(),"Y")</f>
        <v>7</v>
      </c>
      <c r="G73" t="str">
        <f>TEXT(E73,"MMMM")</f>
        <v>setembro</v>
      </c>
      <c r="H73">
        <v>27995239761</v>
      </c>
      <c r="I73" t="str">
        <v>Feminino</v>
      </c>
      <c r="K73" t="str">
        <v>Solteiro(a)</v>
      </c>
      <c r="M73" t="str">
        <v xml:space="preserve">Rafaella Pereira Soares </v>
      </c>
      <c r="N73" t="str">
        <v>São João</v>
      </c>
      <c r="O73">
        <v>42</v>
      </c>
      <c r="P73" t="str">
        <v xml:space="preserve">Santo André </v>
      </c>
      <c r="Q73" t="str">
        <v>Cariacica</v>
      </c>
      <c r="R73" t="str">
        <v>ES</v>
      </c>
      <c r="S73">
        <v>29144766</v>
      </c>
      <c r="T73" t="str">
        <v>Não</v>
      </c>
      <c r="U73" t="str">
        <v>Não</v>
      </c>
      <c r="V73" t="str">
        <v>Ativo</v>
      </c>
      <c r="X73" t="str">
        <v>Não</v>
      </c>
      <c r="Y73" t="str">
        <v>Não</v>
      </c>
      <c r="Z73" t="str">
        <v>0 a 6 anos: Infância</v>
      </c>
      <c r="AA73" t="str">
        <v>Não</v>
      </c>
      <c r="AB73" t="str">
        <v>Sem Grupo</v>
      </c>
      <c r="AC73" xml:space="preserve">
        <f xml:space="preserve">IFERROR(MATCH(G73,{"Janeiro";"Fevereiro";"Março";"Abril";"Maio";"Junho";"Julho";"Agosto";"Setembro";"Outubro";"Novembro";"Dezembro"},0),"")
</f>
        <v>9</v>
      </c>
      <c r="AD73" t="str">
        <v/>
      </c>
    </row>
    <row r="74" xml:space="preserve">
      <c r="A74">
        <v>45839.414956469904</v>
      </c>
      <c r="B74">
        <v>73</v>
      </c>
      <c r="C74" t="str">
        <f>UPPER(D74)</f>
        <v>LARISSA FERREIRA DE MORAIS PAULINO</v>
      </c>
      <c r="D74" t="str">
        <v>Larissa Ferreira de Morais Paulino</v>
      </c>
      <c r="E74">
        <v>32286</v>
      </c>
      <c r="F74">
        <f>DATEDIF(E74,TODAY(),"Y")</f>
        <v>37</v>
      </c>
      <c r="G74" t="str">
        <f>TEXT(E74,"MMMM")</f>
        <v>maio</v>
      </c>
      <c r="H74">
        <v>27999197541</v>
      </c>
      <c r="I74" t="str">
        <v>Feminino</v>
      </c>
      <c r="K74" t="str">
        <v>Casado(a)</v>
      </c>
      <c r="L74" t="str">
        <v xml:space="preserve">Flavio Paulino </v>
      </c>
      <c r="N74" t="str">
        <v>Porto Seguro</v>
      </c>
      <c r="O74">
        <v>237</v>
      </c>
      <c r="P74" t="str">
        <v>Tiradentes</v>
      </c>
      <c r="Q74" t="str">
        <v>Cariacica</v>
      </c>
      <c r="R74" t="str">
        <v>ES</v>
      </c>
      <c r="S74" t="str">
        <v xml:space="preserve">29143-508 </v>
      </c>
      <c r="T74" t="str">
        <v>Sim</v>
      </c>
      <c r="U74" t="str">
        <v>Sim</v>
      </c>
      <c r="V74" t="str">
        <v>Ativo</v>
      </c>
      <c r="X74" t="str">
        <v>Não</v>
      </c>
      <c r="Y74" t="str">
        <v>Não</v>
      </c>
      <c r="Z74" t="str">
        <v>36 a 59 anos: Adulto</v>
      </c>
      <c r="AA74" t="str">
        <v>Não</v>
      </c>
      <c r="AB74" t="str">
        <v>Sem Grupo</v>
      </c>
      <c r="AC74" xml:space="preserve">
        <f xml:space="preserve">IFERROR(MATCH(G74,{"Janeiro";"Fevereiro";"Março";"Abril";"Maio";"Junho";"Julho";"Agosto";"Setembro";"Outubro";"Novembro";"Dezembro"},0),"")
</f>
        <v>5</v>
      </c>
      <c r="AD74" t="str">
        <v/>
      </c>
    </row>
    <row r="75" xml:space="preserve">
      <c r="A75">
        <v>45615.37715512731</v>
      </c>
      <c r="B75">
        <v>74</v>
      </c>
      <c r="C75" t="str">
        <f>UPPER(D75)</f>
        <v xml:space="preserve">LARISSA THEODORO DA SILVA </v>
      </c>
      <c r="D75" t="str">
        <v xml:space="preserve">Larissa Theodoro da Silva </v>
      </c>
      <c r="E75">
        <v>35698</v>
      </c>
      <c r="F75">
        <f>DATEDIF(E75,TODAY(),"Y")</f>
        <v>28</v>
      </c>
      <c r="G75" t="str">
        <f>TEXT(E75,"MMMM")</f>
        <v>setembro</v>
      </c>
      <c r="H75">
        <v>27996893711</v>
      </c>
      <c r="I75" t="str">
        <v>Feminino</v>
      </c>
      <c r="K75" t="str">
        <v>Casado(a)</v>
      </c>
      <c r="L75" t="str">
        <v xml:space="preserve">Richardson Silva Lopes </v>
      </c>
      <c r="N75" t="str">
        <v xml:space="preserve">Itaguaçu </v>
      </c>
      <c r="O75">
        <v>35</v>
      </c>
      <c r="P75" t="str">
        <v>Morada de Santa Fé</v>
      </c>
      <c r="Q75" t="str">
        <v>Cariacica</v>
      </c>
      <c r="R75" t="str">
        <v>ES</v>
      </c>
      <c r="S75">
        <v>29143666</v>
      </c>
      <c r="T75" t="str">
        <v>Sim</v>
      </c>
      <c r="U75" t="str">
        <v>Sim</v>
      </c>
      <c r="V75" t="str">
        <v>Ativo</v>
      </c>
      <c r="X75" t="str">
        <v>Sim</v>
      </c>
      <c r="Y75" t="str">
        <v>Sim</v>
      </c>
      <c r="Z75" t="str">
        <v>18 a 35 anos: Jovem</v>
      </c>
      <c r="AA75" t="str">
        <v>Não</v>
      </c>
      <c r="AB75" t="str">
        <v>Sem Grupo</v>
      </c>
      <c r="AC75" xml:space="preserve">
        <f xml:space="preserve">IFERROR(MATCH(G75,{"Janeiro";"Fevereiro";"Março";"Abril";"Maio";"Junho";"Julho";"Agosto";"Setembro";"Outubro";"Novembro";"Dezembro"},0),"")
</f>
        <v>9</v>
      </c>
      <c r="AD75" t="str">
        <v/>
      </c>
    </row>
    <row r="76" xml:space="preserve">
      <c r="A76">
        <v>45621.87083119213</v>
      </c>
      <c r="B76">
        <v>75</v>
      </c>
      <c r="C76" t="str">
        <f>UPPER(D76)</f>
        <v>LAURA DE LIMA AZEVEDO</v>
      </c>
      <c r="D76" t="str">
        <v>Laura de Lima Azevedo</v>
      </c>
      <c r="E76">
        <v>43693</v>
      </c>
      <c r="F76">
        <f>DATEDIF(E76,TODAY(),"Y")</f>
        <v>6</v>
      </c>
      <c r="G76" t="str">
        <f>TEXT(E76,"MMMM")</f>
        <v>agosto</v>
      </c>
      <c r="H76">
        <v>27998965321</v>
      </c>
      <c r="I76" t="str">
        <v>Feminino</v>
      </c>
      <c r="K76" t="str">
        <v>Solteiro(a)</v>
      </c>
      <c r="M76" t="str">
        <v>Joseph das Neves Azevedo</v>
      </c>
      <c r="N76" t="str">
        <v xml:space="preserve">Bela Vista </v>
      </c>
      <c r="O76">
        <v>15</v>
      </c>
      <c r="P76" t="str">
        <v xml:space="preserve">Arlindo Vilaschi </v>
      </c>
      <c r="Q76" t="str">
        <v>Viana</v>
      </c>
      <c r="R76" t="str">
        <v>ES</v>
      </c>
      <c r="S76">
        <v>29136180</v>
      </c>
      <c r="T76" t="str">
        <v>Não</v>
      </c>
      <c r="U76" t="str">
        <v>Não</v>
      </c>
      <c r="V76" t="str">
        <v>Ativo</v>
      </c>
      <c r="X76" t="str">
        <v>Não</v>
      </c>
      <c r="Y76" t="str">
        <v>Não</v>
      </c>
      <c r="Z76" t="str">
        <v>0 a 6 anos: Infância</v>
      </c>
      <c r="AA76" t="str">
        <v>Não</v>
      </c>
      <c r="AB76" t="str">
        <v>Sem Grupo</v>
      </c>
      <c r="AC76" xml:space="preserve">
        <f xml:space="preserve">IFERROR(MATCH(G76,{"Janeiro";"Fevereiro";"Março";"Abril";"Maio";"Junho";"Julho";"Agosto";"Setembro";"Outubro";"Novembro";"Dezembro"},0),"")
</f>
        <v>8</v>
      </c>
      <c r="AD76" t="str">
        <v/>
      </c>
    </row>
    <row r="77" xml:space="preserve">
      <c r="A77">
        <v>45863.44329982639</v>
      </c>
      <c r="B77">
        <v>76</v>
      </c>
      <c r="C77" t="str">
        <f>UPPER(D77)</f>
        <v>LAURA ROLIM HERPET</v>
      </c>
      <c r="D77" t="str">
        <v>Laura rolim herpet</v>
      </c>
      <c r="E77">
        <v>43386</v>
      </c>
      <c r="F77">
        <f>DATEDIF(E77,TODAY(),"Y")</f>
        <v>7</v>
      </c>
      <c r="G77" t="str">
        <f>TEXT(E77,"MMMM")</f>
        <v>outubro</v>
      </c>
      <c r="H77" t="str">
        <v>027999171122</v>
      </c>
      <c r="I77" t="str">
        <v>Feminino</v>
      </c>
      <c r="M77" t="str">
        <v xml:space="preserve">Mayra da silva rolim herpet </v>
      </c>
      <c r="N77" t="str">
        <v xml:space="preserve">Aparecida </v>
      </c>
      <c r="O77">
        <v>37</v>
      </c>
      <c r="P77" t="str">
        <v xml:space="preserve">São Geraldo </v>
      </c>
      <c r="Q77" t="str">
        <v>Cariacica</v>
      </c>
      <c r="R77" t="str">
        <v>ES</v>
      </c>
      <c r="S77">
        <v>29146653</v>
      </c>
      <c r="T77" t="str">
        <v>Não</v>
      </c>
      <c r="U77" t="str">
        <v>Não</v>
      </c>
      <c r="V77" t="str">
        <v>Ativo</v>
      </c>
      <c r="X77" t="str">
        <v>Não</v>
      </c>
      <c r="Y77" t="str">
        <v>Não</v>
      </c>
      <c r="Z77" t="str">
        <v>0 a 6 anos: Infância</v>
      </c>
      <c r="AA77" t="str">
        <v>Não</v>
      </c>
      <c r="AB77" t="str">
        <v>Sem Grupo</v>
      </c>
      <c r="AC77" xml:space="preserve">
        <f xml:space="preserve">IFERROR(MATCH(G77,{"Janeiro";"Fevereiro";"Março";"Abril";"Maio";"Junho";"Julho";"Agosto";"Setembro";"Outubro";"Novembro";"Dezembro"},0),"")
</f>
        <v>10</v>
      </c>
      <c r="AD77" t="str">
        <v/>
      </c>
    </row>
    <row r="78" xml:space="preserve">
      <c r="A78">
        <v>45614.53096121528</v>
      </c>
      <c r="B78">
        <v>77</v>
      </c>
      <c r="C78" t="str">
        <f>UPPER(D78)</f>
        <v>LAVÍNIA MONTEIRO LOPES</v>
      </c>
      <c r="D78" t="str">
        <v>Lavínia Monteiro Lopes</v>
      </c>
      <c r="E78">
        <v>44383</v>
      </c>
      <c r="F78">
        <f>DATEDIF(E78,TODAY(),"Y")</f>
        <v>4</v>
      </c>
      <c r="G78" t="str">
        <f>TEXT(E78,"MMMM")</f>
        <v>julho</v>
      </c>
      <c r="H78">
        <v>27998626144</v>
      </c>
      <c r="I78" t="str">
        <v>Feminino</v>
      </c>
      <c r="K78" t="str">
        <v>Solteiro(a)</v>
      </c>
      <c r="M78" t="str">
        <v>Diego e Lais Lopes</v>
      </c>
      <c r="N78" t="str">
        <v>Boa Vista</v>
      </c>
      <c r="O78">
        <v>509</v>
      </c>
      <c r="P78" t="str">
        <v>São Benedito</v>
      </c>
      <c r="Q78" t="str">
        <v>Cariacica</v>
      </c>
      <c r="R78" t="str">
        <v>ES</v>
      </c>
      <c r="S78">
        <v>29145334</v>
      </c>
      <c r="T78" t="str">
        <v>Não</v>
      </c>
      <c r="U78" t="str">
        <v>Não</v>
      </c>
      <c r="V78" t="str">
        <v>Ativo</v>
      </c>
      <c r="X78" t="str">
        <v>Não</v>
      </c>
      <c r="Y78" t="str">
        <v>Não</v>
      </c>
      <c r="Z78" t="str">
        <v>0 a 6 anos: Infância</v>
      </c>
      <c r="AA78" t="str">
        <v>Não</v>
      </c>
      <c r="AB78" t="str">
        <v>Sem Grupo</v>
      </c>
      <c r="AC78" xml:space="preserve">
        <f xml:space="preserve">IFERROR(MATCH(G78,{"Janeiro";"Fevereiro";"Março";"Abril";"Maio";"Junho";"Julho";"Agosto";"Setembro";"Outubro";"Novembro";"Dezembro"},0),"")
</f>
        <v>7</v>
      </c>
      <c r="AD78" t="str">
        <v/>
      </c>
    </row>
    <row r="79" xml:space="preserve">
      <c r="A79">
        <v>45839.37301909723</v>
      </c>
      <c r="B79">
        <v>78</v>
      </c>
      <c r="C79" t="str">
        <f>UPPER(D79)</f>
        <v xml:space="preserve">LAYANE FERREIRA DE MORAIS </v>
      </c>
      <c r="D79" t="str">
        <v xml:space="preserve">Layane Ferreira de Morais </v>
      </c>
      <c r="E79">
        <v>34285</v>
      </c>
      <c r="F79">
        <f>DATEDIF(E79,TODAY(),"Y")</f>
        <v>32</v>
      </c>
      <c r="G79" t="str">
        <f>TEXT(E79,"MMMM")</f>
        <v>novembro</v>
      </c>
      <c r="H79">
        <v>27997969899</v>
      </c>
      <c r="I79" t="str">
        <v>Feminino</v>
      </c>
      <c r="K79" t="str">
        <v>Casado(a)</v>
      </c>
      <c r="L79" t="str">
        <v xml:space="preserve">Júlio César Sperandio Gouveia </v>
      </c>
      <c r="N79" t="str">
        <v xml:space="preserve">Otávio Cardoso de Alcântara </v>
      </c>
      <c r="O79">
        <v>67</v>
      </c>
      <c r="P79" t="str">
        <v xml:space="preserve">Morada de santa fé </v>
      </c>
      <c r="Q79" t="str">
        <v>Cariacica</v>
      </c>
      <c r="R79" t="str">
        <v>ES</v>
      </c>
      <c r="S79">
        <v>29143650</v>
      </c>
      <c r="T79" t="str">
        <v>Sim</v>
      </c>
      <c r="U79" t="str">
        <v>Sim</v>
      </c>
      <c r="V79" t="str">
        <v>Ativo</v>
      </c>
      <c r="X79" t="str">
        <v>Não</v>
      </c>
      <c r="Y79" t="str">
        <v>Não</v>
      </c>
      <c r="Z79" t="str">
        <v>18 a 35 anos: Jovem</v>
      </c>
      <c r="AA79" t="str">
        <v>Não</v>
      </c>
      <c r="AB79" t="str">
        <v>Sem Grupo</v>
      </c>
      <c r="AC79" xml:space="preserve">
        <f xml:space="preserve">IFERROR(MATCH(G79,{"Janeiro";"Fevereiro";"Março";"Abril";"Maio";"Junho";"Julho";"Agosto";"Setembro";"Outubro";"Novembro";"Dezembro"},0),"")
</f>
        <v>11</v>
      </c>
      <c r="AD79" t="str">
        <v/>
      </c>
    </row>
    <row r="80" xml:space="preserve">
      <c r="A80">
        <v>45616.806893553236</v>
      </c>
      <c r="B80">
        <v>79</v>
      </c>
      <c r="C80" t="str">
        <f>UPPER(D80)</f>
        <v xml:space="preserve">LEONARDO ADAME FREIRE </v>
      </c>
      <c r="D80" t="str">
        <v xml:space="preserve">Leonardo Adame Freire </v>
      </c>
      <c r="E80">
        <v>30967</v>
      </c>
      <c r="F80">
        <f>DATEDIF(E80,TODAY(),"Y")</f>
        <v>41</v>
      </c>
      <c r="G80" t="str">
        <f>TEXT(E80,"MMMM")</f>
        <v>outubro</v>
      </c>
      <c r="H80">
        <v>27995094880</v>
      </c>
      <c r="I80" t="str">
        <v>Masculino</v>
      </c>
      <c r="K80" t="str">
        <v>Casado(a)</v>
      </c>
      <c r="L80" t="str">
        <v xml:space="preserve">Maria Alda Alves de Souza </v>
      </c>
      <c r="N80" t="str">
        <v xml:space="preserve">Dos Jacarandá </v>
      </c>
      <c r="O80" t="str">
        <v>20 B</v>
      </c>
      <c r="P80" t="str">
        <v xml:space="preserve">Parque gramado </v>
      </c>
      <c r="Q80" t="str">
        <v>Cariacica</v>
      </c>
      <c r="R80" t="str">
        <v>ES</v>
      </c>
      <c r="S80">
        <v>29143185</v>
      </c>
      <c r="T80" t="str">
        <v>Sim</v>
      </c>
      <c r="U80" t="str">
        <v>Sim</v>
      </c>
      <c r="V80" t="str">
        <v>Ativo</v>
      </c>
      <c r="X80" t="str">
        <v>Não</v>
      </c>
      <c r="Y80" t="str">
        <v>Não</v>
      </c>
      <c r="Z80" t="str">
        <v>36 a 59 anos: Adulto</v>
      </c>
      <c r="AA80" t="str">
        <v>Não</v>
      </c>
      <c r="AB80" t="str">
        <v>Sem Grupo</v>
      </c>
      <c r="AC80" xml:space="preserve">
        <f xml:space="preserve">IFERROR(MATCH(G80,{"Janeiro";"Fevereiro";"Março";"Abril";"Maio";"Junho";"Julho";"Agosto";"Setembro";"Outubro";"Novembro";"Dezembro"},0),"")
</f>
        <v>10</v>
      </c>
      <c r="AD80" t="str">
        <v/>
      </c>
    </row>
    <row r="81" xml:space="preserve">
      <c r="A81">
        <v>45614.73859642362</v>
      </c>
      <c r="B81">
        <v>80</v>
      </c>
      <c r="C81" t="str">
        <f>UPPER(D81)</f>
        <v>LETÍCIA CALLOT PINTO DA SILVA</v>
      </c>
      <c r="D81" t="str">
        <v>LETÍCIA CALLOT PINTO DA SILVA</v>
      </c>
      <c r="E81">
        <v>30006</v>
      </c>
      <c r="F81">
        <f>DATEDIF(E81,TODAY(),"Y")</f>
        <v>43</v>
      </c>
      <c r="G81" t="str">
        <f>TEXT(E81,"MMMM")</f>
        <v>fevereiro</v>
      </c>
      <c r="H81">
        <v>27988536515</v>
      </c>
      <c r="I81" t="str">
        <v>Feminino</v>
      </c>
      <c r="K81" t="str">
        <v>Casado(a)</v>
      </c>
      <c r="L81" t="str">
        <v>EDERSON FLÁVIO DA SILVA</v>
      </c>
      <c r="N81" t="str">
        <v xml:space="preserve">itabira </v>
      </c>
      <c r="O81">
        <v>59</v>
      </c>
      <c r="P81" t="str">
        <v>São Geraldo 2</v>
      </c>
      <c r="Q81" t="str">
        <v>Cariacica</v>
      </c>
      <c r="R81" t="str">
        <v>ES</v>
      </c>
      <c r="S81">
        <v>29146840</v>
      </c>
      <c r="T81" t="str">
        <v>Sim</v>
      </c>
      <c r="U81" t="str">
        <v>Sim</v>
      </c>
      <c r="V81" t="str">
        <v>Ativo</v>
      </c>
      <c r="X81" t="str">
        <v>Não</v>
      </c>
      <c r="Y81" t="str">
        <v>Não</v>
      </c>
      <c r="Z81" t="str">
        <v>36 a 59 anos: Adulto</v>
      </c>
      <c r="AA81" t="str">
        <v>Não</v>
      </c>
      <c r="AB81" t="str">
        <v>Sem Grupo</v>
      </c>
      <c r="AC81" xml:space="preserve">
        <f xml:space="preserve">IFERROR(MATCH(G81,{"Janeiro";"Fevereiro";"Março";"Abril";"Maio";"Junho";"Julho";"Agosto";"Setembro";"Outubro";"Novembro";"Dezembro"},0),"")
</f>
        <v>2</v>
      </c>
      <c r="AD81" t="str">
        <v/>
      </c>
    </row>
    <row r="82" xml:space="preserve">
      <c r="A82">
        <v>45614.7145846412</v>
      </c>
      <c r="B82">
        <v>81</v>
      </c>
      <c r="C82" t="str">
        <f>UPPER(D82)</f>
        <v>LEVINDO LUCAS DA CRUZ NETO</v>
      </c>
      <c r="D82" t="str">
        <v>Levindo Lucas da Cruz Neto</v>
      </c>
      <c r="E82">
        <v>22519</v>
      </c>
      <c r="F82">
        <f>DATEDIF(E82,TODAY(),"Y")</f>
        <v>64</v>
      </c>
      <c r="G82" t="str">
        <f>TEXT(E82,"MMMM")</f>
        <v>agosto</v>
      </c>
      <c r="H82">
        <v>27996065024</v>
      </c>
      <c r="I82" t="str">
        <v>Masculino</v>
      </c>
      <c r="K82" t="str">
        <v>Casado(a)</v>
      </c>
      <c r="L82" t="str">
        <v xml:space="preserve">Lindalva de Castro Pereira da Cruz </v>
      </c>
      <c r="N82" t="str">
        <v xml:space="preserve">Avenida Glauber Rocha </v>
      </c>
      <c r="O82">
        <v>109</v>
      </c>
      <c r="P82" t="str">
        <v xml:space="preserve">Morada de santa fé </v>
      </c>
      <c r="Q82" t="str">
        <v>Cariacica</v>
      </c>
      <c r="R82" t="str">
        <v>ES</v>
      </c>
      <c r="S82">
        <v>29143732</v>
      </c>
      <c r="T82" t="str">
        <v>Sim</v>
      </c>
      <c r="U82" t="str">
        <v>Sim</v>
      </c>
      <c r="V82" t="str">
        <v>Ativo</v>
      </c>
      <c r="X82" t="str">
        <v>Não</v>
      </c>
      <c r="Y82" t="str">
        <v>Não</v>
      </c>
      <c r="Z82" t="str">
        <v>60+ anos</v>
      </c>
      <c r="AA82" t="str">
        <v>Não</v>
      </c>
      <c r="AB82" t="str">
        <v>Sem Grupo</v>
      </c>
      <c r="AC82" xml:space="preserve">
        <f xml:space="preserve">IFERROR(MATCH(G82,{"Janeiro";"Fevereiro";"Março";"Abril";"Maio";"Junho";"Julho";"Agosto";"Setembro";"Outubro";"Novembro";"Dezembro"},0),"")
</f>
        <v>8</v>
      </c>
      <c r="AD82" t="str">
        <v/>
      </c>
    </row>
    <row r="83" xml:space="preserve">
      <c r="A83">
        <v>45614.70315666667</v>
      </c>
      <c r="B83">
        <v>82</v>
      </c>
      <c r="C83" t="str">
        <f>UPPER(D83)</f>
        <v xml:space="preserve">LILIAN DE SOUZA VIEIRA </v>
      </c>
      <c r="D83" t="str">
        <v xml:space="preserve">Lilian de Souza Vieira </v>
      </c>
      <c r="E83">
        <v>33386</v>
      </c>
      <c r="F83">
        <f>DATEDIF(E83,TODAY(),"Y")</f>
        <v>34</v>
      </c>
      <c r="G83" t="str">
        <f>TEXT(E83,"MMMM")</f>
        <v>maio</v>
      </c>
      <c r="H83">
        <v>27998504695</v>
      </c>
      <c r="I83" t="str">
        <v>Feminino</v>
      </c>
      <c r="K83" t="str">
        <v>Casado(a)</v>
      </c>
      <c r="L83" t="str">
        <v xml:space="preserve">Willian de Oliveira souza </v>
      </c>
      <c r="N83">
        <v>16</v>
      </c>
      <c r="O83">
        <v>141</v>
      </c>
      <c r="P83" t="str">
        <v xml:space="preserve">Nova Rosa Da Penha 1 </v>
      </c>
      <c r="Q83" t="str">
        <v>Cariacica</v>
      </c>
      <c r="R83" t="str">
        <v>ES</v>
      </c>
      <c r="S83">
        <v>29157414</v>
      </c>
      <c r="T83" t="str">
        <v>Sim</v>
      </c>
      <c r="U83" t="str">
        <v>Não</v>
      </c>
      <c r="V83" t="str">
        <v>Desligado</v>
      </c>
      <c r="W83" t="str">
        <v xml:space="preserve">Se reuniram com o Pastor no dia 02-12-2025 comunicando o desligamento </v>
      </c>
      <c r="X83" t="str">
        <v>Não</v>
      </c>
      <c r="Y83" t="str">
        <v>Não</v>
      </c>
      <c r="Z83" t="str">
        <v>18 a 35 anos: Jovem</v>
      </c>
      <c r="AA83" t="str">
        <v>Não</v>
      </c>
      <c r="AB83" t="str">
        <v>Sem Grupo</v>
      </c>
      <c r="AC83" xml:space="preserve">
        <f xml:space="preserve">IFERROR(MATCH(G83,{"Janeiro";"Fevereiro";"Março";"Abril";"Maio";"Junho";"Julho";"Agosto";"Setembro";"Outubro";"Novembro";"Dezembro"},0),"")
</f>
        <v>5</v>
      </c>
      <c r="AD83" t="str">
        <v/>
      </c>
    </row>
    <row r="84" xml:space="preserve">
      <c r="A84">
        <v>45614.709048564815</v>
      </c>
      <c r="B84">
        <v>83</v>
      </c>
      <c r="C84" t="str">
        <f>UPPER(D84)</f>
        <v xml:space="preserve">LINDALVA DE CASTRO PEREIRA DA CRUZ </v>
      </c>
      <c r="D84" t="str">
        <v xml:space="preserve">Lindalva de Castro Pereira da Cruz </v>
      </c>
      <c r="E84">
        <v>25701</v>
      </c>
      <c r="F84">
        <f>DATEDIF(E84,TODAY(),"Y")</f>
        <v>55</v>
      </c>
      <c r="G84" t="str">
        <f>TEXT(E84,"MMMM")</f>
        <v>maio</v>
      </c>
      <c r="H84">
        <v>27998756058</v>
      </c>
      <c r="I84" t="str">
        <v>Feminino</v>
      </c>
      <c r="K84" t="str">
        <v>Casado(a)</v>
      </c>
      <c r="L84" t="str">
        <v>Levindo Lucas da Cruz Neto</v>
      </c>
      <c r="N84" t="str">
        <v xml:space="preserve">Av Glauber Rocha </v>
      </c>
      <c r="O84">
        <v>109</v>
      </c>
      <c r="P84" t="str">
        <v xml:space="preserve">Morada de santa fé </v>
      </c>
      <c r="Q84" t="str">
        <v>Cariacica</v>
      </c>
      <c r="R84" t="str">
        <v>ES</v>
      </c>
      <c r="S84">
        <v>29143732</v>
      </c>
      <c r="T84" t="str">
        <v>Sim</v>
      </c>
      <c r="U84" t="str">
        <v>Sim</v>
      </c>
      <c r="V84" t="str">
        <v>Ativo</v>
      </c>
      <c r="X84" t="str">
        <v>Sim</v>
      </c>
      <c r="Y84" t="str">
        <v>Não</v>
      </c>
      <c r="Z84" t="str">
        <v>36 a 59 anos: Adulto</v>
      </c>
      <c r="AA84" t="str">
        <v>Não</v>
      </c>
      <c r="AB84" t="str">
        <v>Sem Grupo</v>
      </c>
      <c r="AC84" xml:space="preserve">
        <f xml:space="preserve">IFERROR(MATCH(G84,{"Janeiro";"Fevereiro";"Março";"Abril";"Maio";"Junho";"Julho";"Agosto";"Setembro";"Outubro";"Novembro";"Dezembro"},0),"")
</f>
        <v>5</v>
      </c>
      <c r="AD84" t="str">
        <v/>
      </c>
    </row>
    <row r="85" xml:space="preserve">
      <c r="A85">
        <v>45617.8748752199</v>
      </c>
      <c r="B85">
        <v>84</v>
      </c>
      <c r="C85" t="str">
        <f>UPPER(D85)</f>
        <v>LORRAINHE DA SILVA</v>
      </c>
      <c r="D85" t="str">
        <v>Lorrainhe da silva</v>
      </c>
      <c r="E85">
        <v>32320</v>
      </c>
      <c r="F85">
        <f>DATEDIF(E85,TODAY(),"Y")</f>
        <v>37</v>
      </c>
      <c r="G85" t="str">
        <f>TEXT(E85,"MMMM")</f>
        <v>junho</v>
      </c>
      <c r="H85">
        <v>27996547612</v>
      </c>
      <c r="I85" t="str">
        <v>Feminino</v>
      </c>
      <c r="J85" t="str">
        <v>Divorciada</v>
      </c>
      <c r="K85" t="str">
        <v>Solteiro(a)</v>
      </c>
      <c r="N85" t="str">
        <v xml:space="preserve">Independência </v>
      </c>
      <c r="O85">
        <v>466</v>
      </c>
      <c r="P85" t="str">
        <v xml:space="preserve">Cruzeiro do sul </v>
      </c>
      <c r="Q85" t="str">
        <v>Cariacica</v>
      </c>
      <c r="R85" t="str">
        <v>ES</v>
      </c>
      <c r="S85">
        <v>29144060</v>
      </c>
      <c r="T85" t="str">
        <v>Sim</v>
      </c>
      <c r="U85" t="str">
        <v>Sim</v>
      </c>
      <c r="V85" t="str">
        <v>Ativo</v>
      </c>
      <c r="X85" t="str">
        <v>Não</v>
      </c>
      <c r="Y85" t="str">
        <v>Não</v>
      </c>
      <c r="Z85" t="str">
        <v>36 a 59 anos: Adulto</v>
      </c>
      <c r="AA85" t="str">
        <v>Não</v>
      </c>
      <c r="AB85" t="str">
        <v>Sem Grupo</v>
      </c>
      <c r="AC85" xml:space="preserve">
        <f xml:space="preserve">IFERROR(MATCH(G85,{"Janeiro";"Fevereiro";"Março";"Abril";"Maio";"Junho";"Julho";"Agosto";"Setembro";"Outubro";"Novembro";"Dezembro"},0),"")
</f>
        <v>6</v>
      </c>
      <c r="AD85" t="str">
        <v/>
      </c>
    </row>
    <row r="86" xml:space="preserve">
      <c r="A86">
        <v>45796.428852881945</v>
      </c>
      <c r="B86">
        <v>85</v>
      </c>
      <c r="C86" t="str">
        <f>UPPER(D86)</f>
        <v>LUCAS AMADO DOS REIS</v>
      </c>
      <c r="D86" t="str">
        <v>Lucas Amado Dos Reis</v>
      </c>
      <c r="E86">
        <v>39859</v>
      </c>
      <c r="F86">
        <f>DATEDIF(E86,TODAY(),"Y")</f>
        <v>16</v>
      </c>
      <c r="G86" t="str">
        <f>TEXT(E86,"MMMM")</f>
        <v>fevereiro</v>
      </c>
      <c r="H86">
        <v>27996246871</v>
      </c>
      <c r="I86" t="str">
        <v>Masculino</v>
      </c>
      <c r="K86" t="str">
        <v>Solteiro(a)</v>
      </c>
      <c r="M86" t="str">
        <v>Gilmar José e Geovana De Souza</v>
      </c>
      <c r="N86" t="str">
        <v xml:space="preserve">São Benedito </v>
      </c>
      <c r="O86">
        <v>48</v>
      </c>
      <c r="P86" t="str">
        <v xml:space="preserve">Cruzeiro Do Sul </v>
      </c>
      <c r="Q86" t="str">
        <v>Cariacica</v>
      </c>
      <c r="R86" t="str">
        <v>ES</v>
      </c>
      <c r="S86">
        <v>29144040</v>
      </c>
      <c r="T86" t="str">
        <v>Não</v>
      </c>
      <c r="U86" t="str">
        <v>Não</v>
      </c>
      <c r="V86" t="str">
        <v>Ativo</v>
      </c>
      <c r="X86" t="str">
        <v>Não</v>
      </c>
      <c r="Y86" t="str">
        <v>Não</v>
      </c>
      <c r="Z86" t="str">
        <v>11 a 17 anos: Adolescente</v>
      </c>
      <c r="AA86" t="str">
        <v>Não</v>
      </c>
      <c r="AB86" t="str">
        <v>Sem Grupo</v>
      </c>
      <c r="AC86" xml:space="preserve">
        <f xml:space="preserve">IFERROR(MATCH(G86,{"Janeiro";"Fevereiro";"Março";"Abril";"Maio";"Junho";"Julho";"Agosto";"Setembro";"Outubro";"Novembro";"Dezembro"},0),"")
</f>
        <v>2</v>
      </c>
      <c r="AD86" t="str">
        <v/>
      </c>
    </row>
    <row r="87" xml:space="preserve">
      <c r="A87">
        <v>45625.30576804398</v>
      </c>
      <c r="B87">
        <v>86</v>
      </c>
      <c r="C87" t="str">
        <f>UPPER(D87)</f>
        <v xml:space="preserve">LUISA CASSIANO BORGES </v>
      </c>
      <c r="D87" t="str">
        <v xml:space="preserve">Luisa cassiano borges </v>
      </c>
      <c r="E87">
        <v>37940</v>
      </c>
      <c r="F87">
        <f>DATEDIF(E87,TODAY(),"Y")</f>
        <v>22</v>
      </c>
      <c r="G87" t="str">
        <f>TEXT(E87,"MMMM")</f>
        <v>novembro</v>
      </c>
      <c r="H87">
        <v>27995742249</v>
      </c>
      <c r="I87" t="str">
        <v>Feminino</v>
      </c>
      <c r="K87" t="str">
        <v>Casado(a)</v>
      </c>
      <c r="L87" t="str">
        <v xml:space="preserve">Tiago Dias </v>
      </c>
      <c r="N87" t="str">
        <v xml:space="preserve">Paulo dos apóstolos </v>
      </c>
      <c r="O87">
        <v>13</v>
      </c>
      <c r="P87" t="str">
        <v>Tucum</v>
      </c>
      <c r="Q87" t="str">
        <v>Cariacica</v>
      </c>
      <c r="R87" t="str">
        <v>ES</v>
      </c>
      <c r="S87" t="str">
        <v xml:space="preserve">29152-395 </v>
      </c>
      <c r="T87" t="str">
        <v>Sim</v>
      </c>
      <c r="U87" t="str">
        <v>Sim</v>
      </c>
      <c r="V87" t="str">
        <v>Ativo</v>
      </c>
      <c r="X87" t="str">
        <v>Não</v>
      </c>
      <c r="Y87" t="str">
        <v>Não</v>
      </c>
      <c r="Z87" t="str">
        <v>18 a 35 anos: Jovem</v>
      </c>
      <c r="AA87" t="str">
        <v>Não</v>
      </c>
      <c r="AB87" t="str">
        <v>Sem Grupo</v>
      </c>
      <c r="AC87" xml:space="preserve">
        <f xml:space="preserve">IFERROR(MATCH(G87,{"Janeiro";"Fevereiro";"Março";"Abril";"Maio";"Junho";"Julho";"Agosto";"Setembro";"Outubro";"Novembro";"Dezembro"},0),"")
</f>
        <v>11</v>
      </c>
      <c r="AD87" t="str">
        <v/>
      </c>
    </row>
    <row r="88" xml:space="preserve">
      <c r="A88">
        <v>45802.358224641204</v>
      </c>
      <c r="B88">
        <v>87</v>
      </c>
      <c r="C88" t="str">
        <f>UPPER(D88)</f>
        <v xml:space="preserve">LUIZ FERNANDO SILVA QUEIROZ LIRA </v>
      </c>
      <c r="D88" t="str">
        <v xml:space="preserve">Luiz Fernando Silva Queiroz lira </v>
      </c>
      <c r="E88">
        <v>34664</v>
      </c>
      <c r="F88">
        <f>DATEDIF(E88,TODAY(),"Y")</f>
        <v>31</v>
      </c>
      <c r="G88" t="str">
        <f>TEXT(E88,"MMMM")</f>
        <v>novembro</v>
      </c>
      <c r="H88">
        <v>27988000960</v>
      </c>
      <c r="I88" t="str">
        <v>Masculino</v>
      </c>
      <c r="L88" t="str">
        <v>Kesya pereira lira de oliveira Queiroz</v>
      </c>
      <c r="N88" t="str">
        <v xml:space="preserve">São Paulo dos apóstolos </v>
      </c>
      <c r="O88">
        <v>182</v>
      </c>
      <c r="P88" t="str">
        <v xml:space="preserve">Tucum </v>
      </c>
      <c r="Q88" t="str">
        <v>Cariacica</v>
      </c>
      <c r="R88" t="str">
        <v>ES</v>
      </c>
      <c r="S88">
        <v>29152395</v>
      </c>
      <c r="T88" t="str">
        <v>Sim</v>
      </c>
      <c r="U88" t="str">
        <v>Sim</v>
      </c>
      <c r="V88" t="str">
        <v>Ativo</v>
      </c>
      <c r="X88" t="str">
        <v>Não</v>
      </c>
      <c r="Y88" t="str">
        <v>Não</v>
      </c>
      <c r="Z88" t="str">
        <v>18 a 35 anos: Jovem</v>
      </c>
      <c r="AA88" t="str">
        <v>Não</v>
      </c>
      <c r="AB88" t="str">
        <v>Sem Grupo</v>
      </c>
      <c r="AC88" xml:space="preserve">
        <f xml:space="preserve">IFERROR(MATCH(G88,{"Janeiro";"Fevereiro";"Março";"Abril";"Maio";"Junho";"Julho";"Agosto";"Setembro";"Outubro";"Novembro";"Dezembro"},0),"")
</f>
        <v>11</v>
      </c>
      <c r="AD88" t="str">
        <v/>
      </c>
    </row>
    <row r="89" xml:space="preserve">
      <c r="A89">
        <v>45913.73925716435</v>
      </c>
      <c r="B89">
        <v>88</v>
      </c>
      <c r="C89" t="str">
        <f>UPPER(D89)</f>
        <v xml:space="preserve">MACIEL DE ARAUJO SOUSA </v>
      </c>
      <c r="D89" t="str">
        <v xml:space="preserve">Maciel de Araujo Sousa </v>
      </c>
      <c r="E89">
        <v>32926</v>
      </c>
      <c r="F89">
        <f>DATEDIF(E89,TODAY(),"Y")</f>
        <v>35</v>
      </c>
      <c r="G89" t="str">
        <f>TEXT(E89,"MMMM")</f>
        <v>fevereiro</v>
      </c>
      <c r="H89" t="str">
        <v>(27)995033109</v>
      </c>
      <c r="I89" t="str">
        <v>Feminino</v>
      </c>
      <c r="K89" t="str">
        <v>Casado(a)</v>
      </c>
      <c r="L89" t="str">
        <v xml:space="preserve">Aldeny Ferreira de Oliveira Sousa </v>
      </c>
      <c r="M89" t="str">
        <v xml:space="preserve">Esposa </v>
      </c>
      <c r="N89" t="str">
        <v xml:space="preserve">Porto seguro </v>
      </c>
      <c r="O89">
        <v>216</v>
      </c>
      <c r="P89" t="str">
        <v xml:space="preserve">Tiradentes </v>
      </c>
      <c r="Q89" t="str">
        <v>Cariacica</v>
      </c>
      <c r="R89" t="str">
        <v>ES</v>
      </c>
      <c r="S89">
        <v>29143508</v>
      </c>
      <c r="T89" t="str">
        <v>Sim</v>
      </c>
      <c r="U89" t="str">
        <v>Sim</v>
      </c>
      <c r="V89" t="str">
        <v>Ativo</v>
      </c>
      <c r="X89" t="str">
        <v>Não</v>
      </c>
      <c r="Y89" t="str">
        <v>Não</v>
      </c>
      <c r="Z89" t="str">
        <v>18 a 35 anos: Jovem</v>
      </c>
      <c r="AA89" t="str">
        <v>Não</v>
      </c>
      <c r="AB89" t="str">
        <v>Sem Grupo</v>
      </c>
      <c r="AC89" xml:space="preserve">
        <f xml:space="preserve">IFERROR(MATCH(G89,{"Janeiro";"Fevereiro";"Março";"Abril";"Maio";"Junho";"Julho";"Agosto";"Setembro";"Outubro";"Novembro";"Dezembro"},0),"")
</f>
        <v>2</v>
      </c>
      <c r="AD89" t="str">
        <v/>
      </c>
    </row>
    <row r="90" xml:space="preserve">
      <c r="A90">
        <v>45614.83047611111</v>
      </c>
      <c r="B90">
        <v>89</v>
      </c>
      <c r="C90" t="str">
        <f>UPPER(D90)</f>
        <v xml:space="preserve">MANOELA TAVARES PEREIRA </v>
      </c>
      <c r="D90" t="str">
        <v xml:space="preserve">Manoela Tavares Pereira </v>
      </c>
      <c r="E90">
        <v>35781</v>
      </c>
      <c r="F90">
        <f>DATEDIF(E90,TODAY(),"Y")</f>
        <v>27</v>
      </c>
      <c r="G90" t="str">
        <f>TEXT(E90,"MMMM")</f>
        <v>dezembro</v>
      </c>
      <c r="H90">
        <v>27996349682</v>
      </c>
      <c r="I90" t="str">
        <v>Feminino</v>
      </c>
      <c r="K90" t="str">
        <v>Solteiro(a)</v>
      </c>
      <c r="N90" t="str">
        <v xml:space="preserve">Monte Calvário </v>
      </c>
      <c r="O90" t="str">
        <v>03</v>
      </c>
      <c r="P90" t="str">
        <v xml:space="preserve">Vila Palestina </v>
      </c>
      <c r="Q90" t="str">
        <v>Cariacica</v>
      </c>
      <c r="R90" t="str">
        <v>ES</v>
      </c>
      <c r="S90">
        <v>29145760</v>
      </c>
      <c r="T90" t="str">
        <v>Sim</v>
      </c>
      <c r="U90" t="str">
        <v>Sim</v>
      </c>
      <c r="V90" t="str">
        <v>Ativo</v>
      </c>
      <c r="X90" t="str">
        <v>Não</v>
      </c>
      <c r="Y90" t="str">
        <v>Sim</v>
      </c>
      <c r="Z90" t="str">
        <v>18 a 35 anos: Jovem</v>
      </c>
      <c r="AA90" t="str">
        <v>Não</v>
      </c>
      <c r="AB90" t="str">
        <v>Sem Grupo</v>
      </c>
      <c r="AC90" xml:space="preserve">
        <f xml:space="preserve">IFERROR(MATCH(G90,{"Janeiro";"Fevereiro";"Março";"Abril";"Maio";"Junho";"Julho";"Agosto";"Setembro";"Outubro";"Novembro";"Dezembro"},0),"")
</f>
        <v>12</v>
      </c>
      <c r="AD90" t="str">
        <v/>
      </c>
    </row>
    <row r="91" xml:space="preserve">
      <c r="A91">
        <v>45614.84841304398</v>
      </c>
      <c r="B91">
        <v>90</v>
      </c>
      <c r="C91" t="str">
        <f>UPPER(D91)</f>
        <v xml:space="preserve">MARA LUCIA TAVARES PEREIRA </v>
      </c>
      <c r="D91" t="str">
        <v xml:space="preserve">Mara Lucia Tavares Pereira </v>
      </c>
      <c r="E91">
        <v>23734</v>
      </c>
      <c r="F91">
        <f>DATEDIF(E91,TODAY(),"Y")</f>
        <v>60</v>
      </c>
      <c r="G91" t="str">
        <f>TEXT(E91,"MMMM")</f>
        <v>dezembro</v>
      </c>
      <c r="H91">
        <v>27997459421</v>
      </c>
      <c r="I91" t="str">
        <v>Feminino</v>
      </c>
      <c r="K91" t="str">
        <v>Casado(a)</v>
      </c>
      <c r="L91" t="str">
        <v xml:space="preserve">Alívio de Souza Pereira </v>
      </c>
      <c r="N91" t="str">
        <v xml:space="preserve">Monte Calvário </v>
      </c>
      <c r="O91" t="str">
        <v>03</v>
      </c>
      <c r="P91" t="str">
        <v xml:space="preserve">Vila Palestina </v>
      </c>
      <c r="Q91" t="str">
        <v>Cariacica</v>
      </c>
      <c r="R91" t="str">
        <v>ES</v>
      </c>
      <c r="S91">
        <v>29145760</v>
      </c>
      <c r="T91" t="str">
        <v>Sim</v>
      </c>
      <c r="U91" t="str">
        <v>Sim</v>
      </c>
      <c r="V91" t="str">
        <v>Ativo</v>
      </c>
      <c r="X91" t="str">
        <v>Não</v>
      </c>
      <c r="Y91" t="str">
        <v>Não</v>
      </c>
      <c r="Z91" t="str">
        <v>36 a 59 anos: Adulto</v>
      </c>
      <c r="AA91" t="str">
        <v>Não</v>
      </c>
      <c r="AB91" t="str">
        <v>Sem Grupo</v>
      </c>
      <c r="AC91" xml:space="preserve">
        <f xml:space="preserve">IFERROR(MATCH(G91,{"Janeiro";"Fevereiro";"Março";"Abril";"Maio";"Junho";"Julho";"Agosto";"Setembro";"Outubro";"Novembro";"Dezembro"},0),"")
</f>
        <v>12</v>
      </c>
      <c r="AD91" t="str">
        <v/>
      </c>
    </row>
    <row r="92" xml:space="preserve">
      <c r="A92">
        <v>45616.87890737268</v>
      </c>
      <c r="B92">
        <v>91</v>
      </c>
      <c r="C92" t="str">
        <f>UPPER(D92)</f>
        <v>MARIA ABADIS DOS SANTOS</v>
      </c>
      <c r="D92" t="str">
        <v>Maria abadis dos santos</v>
      </c>
      <c r="E92">
        <v>21049</v>
      </c>
      <c r="F92">
        <f>DATEDIF(E92,TODAY(),"Y")</f>
        <v>68</v>
      </c>
      <c r="G92" t="str">
        <f>TEXT(E92,"MMMM")</f>
        <v>agosto</v>
      </c>
      <c r="H92">
        <v>27996918111</v>
      </c>
      <c r="I92" t="str">
        <v>Feminino</v>
      </c>
      <c r="J92" t="str">
        <v>Viuva</v>
      </c>
      <c r="K92" t="str">
        <v>Solteiro(a)</v>
      </c>
      <c r="N92" t="str">
        <v>Orizonte feliz</v>
      </c>
      <c r="O92" t="str">
        <v>02</v>
      </c>
      <c r="P92" t="str">
        <v xml:space="preserve">Campina grande </v>
      </c>
      <c r="Q92" t="str">
        <v>Cariacica</v>
      </c>
      <c r="R92" t="str">
        <v>ES</v>
      </c>
      <c r="S92">
        <v>29144306</v>
      </c>
      <c r="T92" t="str">
        <v>Sim</v>
      </c>
      <c r="U92" t="str">
        <v>Sim</v>
      </c>
      <c r="V92" t="str">
        <v>Ativo</v>
      </c>
      <c r="X92" t="str">
        <v>Não</v>
      </c>
      <c r="Y92" t="str">
        <v>Não</v>
      </c>
      <c r="Z92" t="str">
        <v>60+ anos</v>
      </c>
      <c r="AA92" t="str">
        <v>Não</v>
      </c>
      <c r="AB92" t="str">
        <v>Sem Grupo</v>
      </c>
      <c r="AC92" xml:space="preserve">
        <f xml:space="preserve">IFERROR(MATCH(G92,{"Janeiro";"Fevereiro";"Março";"Abril";"Maio";"Junho";"Julho";"Agosto";"Setembro";"Outubro";"Novembro";"Dezembro"},0),"")
</f>
        <v>8</v>
      </c>
      <c r="AD92" t="str">
        <v/>
      </c>
    </row>
    <row r="93" xml:space="preserve">
      <c r="A93">
        <v>45620.89238348379</v>
      </c>
      <c r="B93">
        <v>92</v>
      </c>
      <c r="C93" t="str">
        <f>UPPER(D93)</f>
        <v xml:space="preserve">MARIA ALDA ALVES DE SOUZA </v>
      </c>
      <c r="D93" t="str">
        <v xml:space="preserve">Maria Alda Alves de Souza </v>
      </c>
      <c r="E93">
        <v>29315</v>
      </c>
      <c r="F93">
        <f>DATEDIF(E93,TODAY(),"Y")</f>
        <v>45</v>
      </c>
      <c r="G93" t="str">
        <f>TEXT(E93,"MMMM")</f>
        <v>abril</v>
      </c>
      <c r="H93">
        <v>27988035877</v>
      </c>
      <c r="I93" t="str">
        <v>Feminino</v>
      </c>
      <c r="K93" t="str">
        <v>Casado(a)</v>
      </c>
      <c r="L93" t="str">
        <v xml:space="preserve">Leonardo Adame freire </v>
      </c>
      <c r="N93" t="str">
        <v xml:space="preserve">jacaranda </v>
      </c>
      <c r="O93" t="str">
        <v>20 B</v>
      </c>
      <c r="P93" t="str">
        <v xml:space="preserve">Parque Gramado </v>
      </c>
      <c r="Q93" t="str">
        <v>Cariacica</v>
      </c>
      <c r="R93" t="str">
        <v>ES</v>
      </c>
      <c r="S93">
        <v>29143185</v>
      </c>
      <c r="T93" t="str">
        <v>Sim</v>
      </c>
      <c r="U93" t="str">
        <v>Sim</v>
      </c>
      <c r="V93" t="str">
        <v>Ativo</v>
      </c>
      <c r="X93" t="str">
        <v>Não</v>
      </c>
      <c r="Y93" t="str">
        <v>Não</v>
      </c>
      <c r="Z93" t="str">
        <v>36 a 59 anos: Adulto</v>
      </c>
      <c r="AA93" t="str">
        <v>Não</v>
      </c>
      <c r="AB93" t="str">
        <v>Sem Grupo</v>
      </c>
      <c r="AC93" xml:space="preserve">
        <f xml:space="preserve">IFERROR(MATCH(G93,{"Janeiro";"Fevereiro";"Março";"Abril";"Maio";"Junho";"Julho";"Agosto";"Setembro";"Outubro";"Novembro";"Dezembro"},0),"")
</f>
        <v>4</v>
      </c>
      <c r="AD93" t="str">
        <v/>
      </c>
    </row>
    <row r="94" xml:space="preserve">
      <c r="A94">
        <v>45614.7084109375</v>
      </c>
      <c r="B94">
        <v>93</v>
      </c>
      <c r="C94" t="str">
        <f>UPPER(D94)</f>
        <v xml:space="preserve">MARIA CLARA MENDONÇA COLONETTI </v>
      </c>
      <c r="D94" t="str">
        <v xml:space="preserve">Maria Clara Mendonça Colonetti </v>
      </c>
      <c r="E94">
        <v>38901</v>
      </c>
      <c r="F94">
        <f>DATEDIF(E94,TODAY(),"Y")</f>
        <v>19</v>
      </c>
      <c r="G94" t="str">
        <f>TEXT(E94,"MMMM")</f>
        <v>julho</v>
      </c>
      <c r="H94">
        <v>27999972115</v>
      </c>
      <c r="I94" t="str">
        <v>Feminino</v>
      </c>
      <c r="K94" t="str">
        <v>Solteiro(a)</v>
      </c>
      <c r="N94" t="str">
        <v>Claricio Alves Ribeiro</v>
      </c>
      <c r="O94">
        <v>100</v>
      </c>
      <c r="P94" t="str">
        <v>Itanguá</v>
      </c>
      <c r="Q94" t="str">
        <v>Cariacica</v>
      </c>
      <c r="R94" t="str">
        <v>ES</v>
      </c>
      <c r="S94" t="str">
        <v xml:space="preserve">29149-800 </v>
      </c>
      <c r="T94" t="str">
        <v>Sim</v>
      </c>
      <c r="U94" t="str">
        <v>Sim</v>
      </c>
      <c r="V94" t="str">
        <v>Ativo</v>
      </c>
      <c r="X94" t="str">
        <v>Não</v>
      </c>
      <c r="Y94" t="str">
        <v>Não</v>
      </c>
      <c r="Z94" t="str">
        <v>18 a 35 anos: Jovem</v>
      </c>
      <c r="AA94" t="str">
        <v>Não</v>
      </c>
      <c r="AB94" t="str">
        <v>Sem Grupo</v>
      </c>
      <c r="AC94" xml:space="preserve">
        <f xml:space="preserve">IFERROR(MATCH(G94,{"Janeiro";"Fevereiro";"Março";"Abril";"Maio";"Junho";"Julho";"Agosto";"Setembro";"Outubro";"Novembro";"Dezembro"},0),"")
</f>
        <v>7</v>
      </c>
      <c r="AD94" t="str">
        <v/>
      </c>
    </row>
    <row r="95" xml:space="preserve">
      <c r="A95">
        <v>45619.51593292824</v>
      </c>
      <c r="B95">
        <v>94</v>
      </c>
      <c r="C95" t="str">
        <f>UPPER(D95)</f>
        <v xml:space="preserve">MARIA EDUARDA MONTEIRO OTÁVIO </v>
      </c>
      <c r="D95" t="str">
        <v xml:space="preserve">Maria Eduarda monteiro Otávio </v>
      </c>
      <c r="E95">
        <v>39931</v>
      </c>
      <c r="F95">
        <f>DATEDIF(E95,TODAY(),"Y")</f>
        <v>16</v>
      </c>
      <c r="G95" t="str">
        <f>TEXT(E95,"MMMM")</f>
        <v>abril</v>
      </c>
      <c r="H95">
        <v>27998361927</v>
      </c>
      <c r="I95" t="str">
        <v>Feminino</v>
      </c>
      <c r="K95" t="str">
        <v>Solteiro(a)</v>
      </c>
      <c r="M95" t="str">
        <v>Dayane monteiro costa</v>
      </c>
      <c r="N95" t="str">
        <v xml:space="preserve">Abílio pontini </v>
      </c>
      <c r="O95">
        <v>145</v>
      </c>
      <c r="P95" t="str">
        <v xml:space="preserve">São Geraldo 2 </v>
      </c>
      <c r="Q95" t="str">
        <v>Cariacica</v>
      </c>
      <c r="R95" t="str">
        <v>ES</v>
      </c>
      <c r="S95">
        <v>29146805</v>
      </c>
      <c r="T95" t="str">
        <v>Não</v>
      </c>
      <c r="U95" t="str">
        <v>Não</v>
      </c>
      <c r="V95" t="str">
        <v>Ativo</v>
      </c>
      <c r="X95" t="str">
        <v>Não</v>
      </c>
      <c r="Y95" t="str">
        <v>Não</v>
      </c>
      <c r="Z95" t="str">
        <v>11 a 17 anos: Adolescente</v>
      </c>
      <c r="AA95" t="str">
        <v>Não</v>
      </c>
      <c r="AB95" t="str">
        <v>Sem Grupo</v>
      </c>
      <c r="AC95" xml:space="preserve">
        <f xml:space="preserve">IFERROR(MATCH(G95,{"Janeiro";"Fevereiro";"Março";"Abril";"Maio";"Junho";"Julho";"Agosto";"Setembro";"Outubro";"Novembro";"Dezembro"},0),"")
</f>
        <v>4</v>
      </c>
      <c r="AD95" t="str">
        <v/>
      </c>
    </row>
    <row r="96" xml:space="preserve">
      <c r="A96">
        <v>45617.55800210648</v>
      </c>
      <c r="B96">
        <v>95</v>
      </c>
      <c r="C96" t="str">
        <f>UPPER(D96)</f>
        <v>MARIA HELENA ROCHA</v>
      </c>
      <c r="D96" t="str">
        <v>Maria Helena Rocha</v>
      </c>
      <c r="E96">
        <v>27774</v>
      </c>
      <c r="F96">
        <f>DATEDIF(E96,TODAY(),"Y")</f>
        <v>49</v>
      </c>
      <c r="G96" t="str">
        <f>TEXT(E96,"MMMM")</f>
        <v>janeiro</v>
      </c>
      <c r="H96">
        <v>27988427097</v>
      </c>
      <c r="I96" t="str">
        <v>Feminino</v>
      </c>
      <c r="J96" t="str">
        <v>Data de registro 15/04/1976 / Divorciada</v>
      </c>
      <c r="K96" t="str">
        <v>Solteiro(a)</v>
      </c>
      <c r="N96" t="str">
        <v xml:space="preserve">Efigenio coelho </v>
      </c>
      <c r="O96">
        <v>64</v>
      </c>
      <c r="P96" t="str">
        <v xml:space="preserve">Ipanema </v>
      </c>
      <c r="Q96" t="str">
        <v>Viana</v>
      </c>
      <c r="R96" t="str">
        <v>ES</v>
      </c>
      <c r="S96">
        <v>29134044</v>
      </c>
      <c r="T96" t="str">
        <v>Sim</v>
      </c>
      <c r="U96" t="str">
        <v>Sim</v>
      </c>
      <c r="V96" t="str">
        <v>Ativo</v>
      </c>
      <c r="X96" t="str">
        <v>Não</v>
      </c>
      <c r="Y96" t="str">
        <v>Não</v>
      </c>
      <c r="Z96" t="str">
        <v>36 a 59 anos: Adulto</v>
      </c>
      <c r="AA96" t="str">
        <v>Não</v>
      </c>
      <c r="AB96" t="str">
        <v>Sem Grupo</v>
      </c>
      <c r="AC96" xml:space="preserve">
        <f xml:space="preserve">IFERROR(MATCH(G96,{"Janeiro";"Fevereiro";"Março";"Abril";"Maio";"Junho";"Julho";"Agosto";"Setembro";"Outubro";"Novembro";"Dezembro"},0),"")
</f>
        <v>1</v>
      </c>
      <c r="AD96" t="str">
        <v/>
      </c>
    </row>
    <row r="97" xml:space="preserve">
      <c r="A97">
        <v>45617.341849131946</v>
      </c>
      <c r="B97">
        <v>96</v>
      </c>
      <c r="C97" t="str">
        <f>UPPER(D97)</f>
        <v xml:space="preserve">MARIA JOSÉ BERGAMINI </v>
      </c>
      <c r="D97" t="str">
        <v xml:space="preserve">Maria José Bergamini </v>
      </c>
      <c r="E97">
        <v>22384</v>
      </c>
      <c r="F97">
        <f>DATEDIF(E97,TODAY(),"Y")</f>
        <v>64</v>
      </c>
      <c r="G97" t="str">
        <f>TEXT(E97,"MMMM")</f>
        <v>abril</v>
      </c>
      <c r="H97">
        <v>27999592139</v>
      </c>
      <c r="I97" t="str">
        <v>Feminino</v>
      </c>
      <c r="K97" t="str">
        <v>Casado(a)</v>
      </c>
      <c r="L97" t="str">
        <v xml:space="preserve">Jean Carlos Bergamini </v>
      </c>
      <c r="N97" t="str">
        <v xml:space="preserve">Itabira </v>
      </c>
      <c r="O97">
        <v>38</v>
      </c>
      <c r="P97" t="str">
        <v xml:space="preserve">São Geraldo 2 </v>
      </c>
      <c r="Q97" t="str">
        <v>Cariacica</v>
      </c>
      <c r="R97" t="str">
        <v>ES</v>
      </c>
      <c r="S97">
        <v>29146840</v>
      </c>
      <c r="T97" t="str">
        <v>Sim</v>
      </c>
      <c r="U97" t="str">
        <v>Sim</v>
      </c>
      <c r="V97" t="str">
        <v>Ativo</v>
      </c>
      <c r="X97" t="str">
        <v>Não</v>
      </c>
      <c r="Y97" t="str">
        <v>Sim</v>
      </c>
      <c r="Z97" t="str">
        <v>60+ anos</v>
      </c>
      <c r="AA97" t="str">
        <v>Não</v>
      </c>
      <c r="AB97" t="str">
        <v>Sem Grupo</v>
      </c>
      <c r="AC97" xml:space="preserve">
        <f xml:space="preserve">IFERROR(MATCH(G97,{"Janeiro";"Fevereiro";"Março";"Abril";"Maio";"Junho";"Julho";"Agosto";"Setembro";"Outubro";"Novembro";"Dezembro"},0),"")
</f>
        <v>4</v>
      </c>
      <c r="AD97" t="str">
        <v/>
      </c>
    </row>
    <row r="98" xml:space="preserve">
      <c r="A98">
        <v>45616.67818099537</v>
      </c>
      <c r="B98">
        <v>97</v>
      </c>
      <c r="C98" t="str">
        <f>UPPER(D98)</f>
        <v xml:space="preserve">MARICELIA DA CRUZ IZIDORO ARANTES ALVES </v>
      </c>
      <c r="D98" t="str">
        <v xml:space="preserve">Maricelia da Cruz Izidoro Arantes Alves </v>
      </c>
      <c r="E98">
        <v>25901</v>
      </c>
      <c r="F98">
        <f>DATEDIF(E98,TODAY(),"Y")</f>
        <v>55</v>
      </c>
      <c r="G98" t="str">
        <f>TEXT(E98,"MMMM")</f>
        <v>novembro</v>
      </c>
      <c r="H98">
        <v>27992588238</v>
      </c>
      <c r="I98" t="str">
        <v>Feminino</v>
      </c>
      <c r="J98" t="str">
        <v>condomínio parque Vila Platina. Bloco 04 AP 506</v>
      </c>
      <c r="K98" t="str">
        <v>Casado(a)</v>
      </c>
      <c r="L98" t="str">
        <v xml:space="preserve">Odair Arantes Alves </v>
      </c>
      <c r="N98" t="str">
        <v>Odonia da Costa Machado Toledo</v>
      </c>
      <c r="O98">
        <v>311</v>
      </c>
      <c r="P98" t="str">
        <v>Campina Grande</v>
      </c>
      <c r="Q98" t="str">
        <v>Cariacica</v>
      </c>
      <c r="R98" t="str">
        <v>ES</v>
      </c>
      <c r="S98">
        <v>29144375</v>
      </c>
      <c r="T98" t="str">
        <v>Sim</v>
      </c>
      <c r="U98" t="str">
        <v>Não</v>
      </c>
      <c r="V98" t="str">
        <v>Desligado</v>
      </c>
      <c r="W98" t="str">
        <v>Desligados dia 03/12/025</v>
      </c>
      <c r="X98" t="str">
        <v>Não</v>
      </c>
      <c r="Y98" t="str">
        <v>Não</v>
      </c>
      <c r="Z98" t="str">
        <v>36 a 59 anos: Adulto</v>
      </c>
      <c r="AA98" t="str">
        <v>Não</v>
      </c>
      <c r="AB98" t="str">
        <v>Sem Grupo</v>
      </c>
      <c r="AC98" xml:space="preserve">
        <f xml:space="preserve">IFERROR(MATCH(G98,{"Janeiro";"Fevereiro";"Março";"Abril";"Maio";"Junho";"Julho";"Agosto";"Setembro";"Outubro";"Novembro";"Dezembro"},0),"")
</f>
        <v>11</v>
      </c>
      <c r="AD98" t="str">
        <v/>
      </c>
    </row>
    <row r="99" xml:space="preserve">
      <c r="A99">
        <v>45621.21788048611</v>
      </c>
      <c r="B99">
        <v>98</v>
      </c>
      <c r="C99" t="str">
        <f>UPPER(D99)</f>
        <v xml:space="preserve">MARILZA OLIVEIRA DA COSTA ALMEIDA </v>
      </c>
      <c r="D99" t="str">
        <v xml:space="preserve">Marilza Oliveira da Costa Almeida </v>
      </c>
      <c r="E99">
        <v>26032</v>
      </c>
      <c r="F99">
        <f>DATEDIF(E99,TODAY(),"Y")</f>
        <v>54</v>
      </c>
      <c r="G99" t="str">
        <f>TEXT(E99,"MMMM")</f>
        <v>abril</v>
      </c>
      <c r="H99">
        <v>27996179308</v>
      </c>
      <c r="I99" t="str">
        <v>Feminino</v>
      </c>
      <c r="K99" t="str">
        <v>Casado(a)</v>
      </c>
      <c r="L99" t="str">
        <v>Beraldino de Almeida Filho</v>
      </c>
      <c r="N99" t="str">
        <v xml:space="preserve">Evaristo canal </v>
      </c>
      <c r="O99">
        <v>63</v>
      </c>
      <c r="P99" t="str">
        <v xml:space="preserve">Ipanema </v>
      </c>
      <c r="Q99" t="str">
        <v>Viana</v>
      </c>
      <c r="R99" t="str">
        <v>ES</v>
      </c>
      <c r="T99" t="str">
        <v>Sim</v>
      </c>
      <c r="U99" t="str">
        <v>Sim</v>
      </c>
      <c r="V99" t="str">
        <v>Ativo</v>
      </c>
      <c r="X99" t="str">
        <v>Não</v>
      </c>
      <c r="Y99" t="str">
        <v>Não</v>
      </c>
      <c r="Z99" t="str">
        <v>36 a 59 anos: Adulto</v>
      </c>
      <c r="AA99" t="str">
        <v>Não</v>
      </c>
      <c r="AB99" t="str">
        <v>Sem Grupo</v>
      </c>
      <c r="AC99" xml:space="preserve">
        <f xml:space="preserve">IFERROR(MATCH(G99,{"Janeiro";"Fevereiro";"Março";"Abril";"Maio";"Junho";"Julho";"Agosto";"Setembro";"Outubro";"Novembro";"Dezembro"},0),"")
</f>
        <v>4</v>
      </c>
      <c r="AD99" t="str">
        <v/>
      </c>
    </row>
    <row r="100" xml:space="preserve">
      <c r="A100">
        <v>45618.50775366898</v>
      </c>
      <c r="B100">
        <v>99</v>
      </c>
      <c r="C100" t="str">
        <f>UPPER(D100)</f>
        <v>MARLI DO CARMO DA SILVA ROLIM</v>
      </c>
      <c r="D100" t="str">
        <v>Marli do Carmo da Silva Rolim</v>
      </c>
      <c r="E100">
        <v>26116</v>
      </c>
      <c r="F100">
        <f>DATEDIF(E100,TODAY(),"Y")</f>
        <v>54</v>
      </c>
      <c r="G100" t="str">
        <f>TEXT(E100,"MMMM")</f>
        <v>julho</v>
      </c>
      <c r="H100">
        <v>27997434854</v>
      </c>
      <c r="I100" t="str">
        <v>Feminino</v>
      </c>
      <c r="K100" t="str">
        <v>Casado(a)</v>
      </c>
      <c r="L100" t="str">
        <v>Pedro Marcos Rolim</v>
      </c>
      <c r="N100" t="str">
        <v xml:space="preserve">Nossa Senhora Aparecida </v>
      </c>
      <c r="O100">
        <v>37</v>
      </c>
      <c r="P100" t="str">
        <v>São Geraldo 1</v>
      </c>
      <c r="Q100" t="str">
        <v>Cariacica</v>
      </c>
      <c r="R100" t="str">
        <v>ES</v>
      </c>
      <c r="S100">
        <v>29146653</v>
      </c>
      <c r="T100" t="str">
        <v>Sim</v>
      </c>
      <c r="U100" t="str">
        <v>Sim</v>
      </c>
      <c r="V100" t="str">
        <v>Ativo</v>
      </c>
      <c r="X100" t="str">
        <v>Não</v>
      </c>
      <c r="Y100" t="str">
        <v>Não</v>
      </c>
      <c r="Z100" t="str">
        <v>36 a 59 anos: Adulto</v>
      </c>
      <c r="AA100" t="str">
        <v>Não</v>
      </c>
      <c r="AB100" t="str">
        <v>Sem Grupo</v>
      </c>
      <c r="AC100" xml:space="preserve">
        <f xml:space="preserve">IFERROR(MATCH(G100,{"Janeiro";"Fevereiro";"Março";"Abril";"Maio";"Junho";"Julho";"Agosto";"Setembro";"Outubro";"Novembro";"Dezembro"},0),"")
</f>
        <v>7</v>
      </c>
      <c r="AD100" t="str">
        <v/>
      </c>
    </row>
    <row r="101" xml:space="preserve">
      <c r="A101">
        <v>45863.4442147338</v>
      </c>
      <c r="B101">
        <v>100</v>
      </c>
      <c r="C101" t="str">
        <f>UPPER(D101)</f>
        <v xml:space="preserve">MARVIN ROLIM HERPET </v>
      </c>
      <c r="D101" t="str">
        <v xml:space="preserve">Marvin rolim herpet </v>
      </c>
      <c r="E101">
        <v>45481</v>
      </c>
      <c r="F101">
        <f>DATEDIF(E101,TODAY(),"Y")</f>
        <v>1</v>
      </c>
      <c r="G101" t="str">
        <f>TEXT(E101,"MMMM")</f>
        <v>julho</v>
      </c>
      <c r="H101" t="str">
        <v>027999171122</v>
      </c>
      <c r="I101" t="str">
        <v>Masculino</v>
      </c>
      <c r="M101" t="str">
        <v xml:space="preserve">Mayra da silva rolim herpet </v>
      </c>
      <c r="N101" t="str">
        <v xml:space="preserve">Aparecida </v>
      </c>
      <c r="O101">
        <v>37</v>
      </c>
      <c r="P101" t="str">
        <v xml:space="preserve">São Geraldo </v>
      </c>
      <c r="Q101" t="str">
        <v>Cariacica</v>
      </c>
      <c r="R101" t="str">
        <v>ES</v>
      </c>
      <c r="S101">
        <v>29146653</v>
      </c>
      <c r="T101" t="str">
        <v>Não</v>
      </c>
      <c r="U101" t="str">
        <v>Não</v>
      </c>
      <c r="V101" t="str">
        <v>Ativo</v>
      </c>
      <c r="X101" t="str">
        <v>Não</v>
      </c>
      <c r="Y101" t="str">
        <v>Não</v>
      </c>
      <c r="Z101" t="str">
        <v>0 a 6 anos: Infância</v>
      </c>
      <c r="AA101" t="str">
        <v>Não</v>
      </c>
      <c r="AB101" t="str">
        <v>Sem Grupo</v>
      </c>
      <c r="AC101" xml:space="preserve">
        <f xml:space="preserve">IFERROR(MATCH(G101,{"Janeiro";"Fevereiro";"Março";"Abril";"Maio";"Junho";"Julho";"Agosto";"Setembro";"Outubro";"Novembro";"Dezembro"},0),"")
</f>
        <v>7</v>
      </c>
      <c r="AD101" t="str">
        <v/>
      </c>
    </row>
    <row r="102" xml:space="preserve">
      <c r="A102">
        <v>45657.52366090278</v>
      </c>
      <c r="B102">
        <v>101</v>
      </c>
      <c r="C102" t="str">
        <f>UPPER(D102)</f>
        <v xml:space="preserve">MATHEUS HENRIQUE DE SOUZA MOREIRA </v>
      </c>
      <c r="D102" t="str">
        <v xml:space="preserve">Matheus Henrique de Souza Moreira </v>
      </c>
      <c r="E102">
        <v>34524</v>
      </c>
      <c r="F102">
        <f>DATEDIF(E102,TODAY(),"Y")</f>
        <v>31</v>
      </c>
      <c r="G102" t="str">
        <f>TEXT(E102,"MMMM")</f>
        <v>julho</v>
      </c>
      <c r="H102">
        <v>27992246707</v>
      </c>
      <c r="I102" t="str">
        <v>Masculino</v>
      </c>
      <c r="K102" t="str">
        <v>Casado(a)</v>
      </c>
      <c r="L102" t="str">
        <v xml:space="preserve">Thayná de Souza Dutra </v>
      </c>
      <c r="N102" t="str">
        <v xml:space="preserve">Avenida Espirito Santo </v>
      </c>
      <c r="O102">
        <v>1035</v>
      </c>
      <c r="P102" t="str">
        <v xml:space="preserve">Jardim Campo Grande </v>
      </c>
      <c r="Q102" t="str">
        <v>Cariacica</v>
      </c>
      <c r="R102" t="str">
        <v>ES</v>
      </c>
      <c r="S102">
        <v>29141459</v>
      </c>
      <c r="T102" t="str">
        <v>Sim</v>
      </c>
      <c r="U102" t="str">
        <v>Sim</v>
      </c>
      <c r="V102" t="str">
        <v>Ativo</v>
      </c>
      <c r="X102" t="str">
        <v>Não</v>
      </c>
      <c r="Y102" t="str">
        <v>Não</v>
      </c>
      <c r="Z102" t="str">
        <v>18 a 35 anos: Jovem</v>
      </c>
      <c r="AA102" t="str">
        <v>Não</v>
      </c>
      <c r="AB102" t="str">
        <v>Sem Grupo</v>
      </c>
      <c r="AC102" xml:space="preserve">
        <f xml:space="preserve">IFERROR(MATCH(G102,{"Janeiro";"Fevereiro";"Março";"Abril";"Maio";"Junho";"Julho";"Agosto";"Setembro";"Outubro";"Novembro";"Dezembro"},0),"")
</f>
        <v>7</v>
      </c>
      <c r="AD102" t="str">
        <v/>
      </c>
    </row>
    <row r="103" xml:space="preserve">
      <c r="A103">
        <v>45796.44245530093</v>
      </c>
      <c r="B103">
        <v>102</v>
      </c>
      <c r="C103" t="str">
        <f>UPPER(D103)</f>
        <v>MATHEUS SOUZA CRUZ</v>
      </c>
      <c r="D103" t="str">
        <v>Matheus Souza Cruz</v>
      </c>
      <c r="E103">
        <v>35273</v>
      </c>
      <c r="F103">
        <f>DATEDIF(E103,TODAY(),"Y")</f>
        <v>29</v>
      </c>
      <c r="G103" t="str">
        <f>TEXT(E103,"MMMM")</f>
        <v>julho</v>
      </c>
      <c r="H103">
        <v>27981394281</v>
      </c>
      <c r="I103" t="str">
        <v>Masculino</v>
      </c>
      <c r="K103" t="str">
        <v>Casado(a)</v>
      </c>
      <c r="L103" t="str">
        <v>Shauany Souza Gomes Cruz</v>
      </c>
      <c r="N103" t="str">
        <v>Dos Apostolos</v>
      </c>
      <c r="O103">
        <v>20</v>
      </c>
      <c r="P103" t="str">
        <v>Vila Palestina</v>
      </c>
      <c r="Q103" t="str">
        <v>Cariacica</v>
      </c>
      <c r="R103" t="str">
        <v>ES</v>
      </c>
      <c r="S103">
        <v>29145630</v>
      </c>
      <c r="T103" t="str">
        <v>Sim</v>
      </c>
      <c r="U103" t="str">
        <v>Não</v>
      </c>
      <c r="V103" t="str">
        <v>Desligado</v>
      </c>
      <c r="W103" t="str">
        <v>Desligados dia 03/12/026</v>
      </c>
      <c r="X103" t="str">
        <v>Não</v>
      </c>
      <c r="Y103" t="str">
        <v>Não</v>
      </c>
      <c r="Z103" t="str">
        <v>18 a 35 anos: Jovem</v>
      </c>
      <c r="AA103" t="str">
        <v>Não</v>
      </c>
      <c r="AB103" t="str">
        <v>Sem Grupo</v>
      </c>
      <c r="AC103" xml:space="preserve">
        <f xml:space="preserve">IFERROR(MATCH(G103,{"Janeiro";"Fevereiro";"Março";"Abril";"Maio";"Junho";"Julho";"Agosto";"Setembro";"Outubro";"Novembro";"Dezembro"},0),"")
</f>
        <v>7</v>
      </c>
      <c r="AD103" t="str">
        <v/>
      </c>
    </row>
    <row r="104" xml:space="preserve">
      <c r="A104">
        <v>45863.4416752199</v>
      </c>
      <c r="B104">
        <v>103</v>
      </c>
      <c r="C104" t="str">
        <f>UPPER(D104)</f>
        <v>MAYRA DA SILVA ROLIM HERPET</v>
      </c>
      <c r="D104" t="str">
        <v>Mayra Da silva rolim herpet</v>
      </c>
      <c r="E104">
        <v>35445</v>
      </c>
      <c r="F104">
        <f>DATEDIF(E104,TODAY(),"Y")</f>
        <v>28</v>
      </c>
      <c r="G104" t="str">
        <f>TEXT(E104,"MMMM")</f>
        <v>janeiro</v>
      </c>
      <c r="H104" t="str">
        <v>027999171122</v>
      </c>
      <c r="I104" t="str">
        <v>Feminino</v>
      </c>
      <c r="K104" t="str">
        <v>Casado(a)</v>
      </c>
      <c r="L104" t="str">
        <v xml:space="preserve">Geovanny herpet Pereira </v>
      </c>
      <c r="N104" t="str">
        <v>Aparecida</v>
      </c>
      <c r="O104">
        <v>37</v>
      </c>
      <c r="P104" t="str">
        <v xml:space="preserve">São Geraldo </v>
      </c>
      <c r="Q104" t="str">
        <v>Cariacica</v>
      </c>
      <c r="R104" t="str">
        <v>ES</v>
      </c>
      <c r="S104">
        <v>29146653</v>
      </c>
      <c r="T104" t="str">
        <v>Sim</v>
      </c>
      <c r="U104" t="str">
        <v>Sim</v>
      </c>
      <c r="V104" t="str">
        <v>Ativo</v>
      </c>
      <c r="X104" t="str">
        <v>Não</v>
      </c>
      <c r="Y104" t="str">
        <v>Não</v>
      </c>
      <c r="Z104" t="str">
        <v>18 a 35 anos: Jovem</v>
      </c>
      <c r="AA104" t="str">
        <v>Não</v>
      </c>
      <c r="AB104" t="str">
        <v>Sem Grupo</v>
      </c>
      <c r="AC104" xml:space="preserve">
        <f xml:space="preserve">IFERROR(MATCH(G104,{"Janeiro";"Fevereiro";"Março";"Abril";"Maio";"Junho";"Julho";"Agosto";"Setembro";"Outubro";"Novembro";"Dezembro"},0),"")
</f>
        <v>1</v>
      </c>
      <c r="AD104" t="str">
        <v/>
      </c>
    </row>
    <row r="105" xml:space="preserve">
      <c r="A105">
        <v>45797.863234062504</v>
      </c>
      <c r="B105">
        <v>104</v>
      </c>
      <c r="C105" t="str">
        <f>UPPER(D105)</f>
        <v xml:space="preserve">MICAELE ROCHA ROSA </v>
      </c>
      <c r="D105" t="str">
        <v xml:space="preserve">Micaele Rocha Rosa </v>
      </c>
      <c r="E105">
        <v>40078</v>
      </c>
      <c r="F105">
        <f>DATEDIF(E105,TODAY(),"Y")</f>
        <v>16</v>
      </c>
      <c r="G105" t="str">
        <f>TEXT(E105,"MMMM")</f>
        <v>setembro</v>
      </c>
      <c r="H105">
        <v>27988276640</v>
      </c>
      <c r="I105" t="str">
        <v>Feminino</v>
      </c>
      <c r="K105" t="str">
        <v>Solteiro(a)</v>
      </c>
      <c r="M105" t="str">
        <v xml:space="preserve">Bruna Lorrani Rocha Mousinho </v>
      </c>
      <c r="N105" t="str">
        <v xml:space="preserve">Ametista </v>
      </c>
      <c r="O105">
        <v>34</v>
      </c>
      <c r="P105" t="str">
        <v xml:space="preserve">São Geraldo </v>
      </c>
      <c r="Q105" t="str">
        <v>Cariacica</v>
      </c>
      <c r="R105" t="str">
        <v>ES</v>
      </c>
      <c r="S105">
        <v>29146677</v>
      </c>
      <c r="T105" t="str">
        <v>Sim</v>
      </c>
      <c r="U105" t="str">
        <v>Não</v>
      </c>
      <c r="V105" t="str">
        <v>Desligado</v>
      </c>
      <c r="X105" t="str">
        <v>Não</v>
      </c>
      <c r="Y105" t="str">
        <v>Não</v>
      </c>
      <c r="Z105" t="str">
        <v>11 a 17 anos: Adolescente</v>
      </c>
      <c r="AA105" t="str">
        <v>Não</v>
      </c>
      <c r="AB105" t="str">
        <v>Sem Grupo</v>
      </c>
      <c r="AC105" xml:space="preserve">
        <f xml:space="preserve">IFERROR(MATCH(G105,{"Janeiro";"Fevereiro";"Março";"Abril";"Maio";"Junho";"Julho";"Agosto";"Setembro";"Outubro";"Novembro";"Dezembro"},0),"")
</f>
        <v>9</v>
      </c>
      <c r="AD105" t="str">
        <v/>
      </c>
    </row>
    <row r="106" xml:space="preserve">
      <c r="A106">
        <v>45621.867538437495</v>
      </c>
      <c r="B106">
        <v>105</v>
      </c>
      <c r="C106" t="str">
        <f>UPPER(D106)</f>
        <v>MICHELLE CORNÉLIO DE LIMA AZEVEDO</v>
      </c>
      <c r="D106" t="str">
        <v>Michelle Cornélio de Lima Azevedo</v>
      </c>
      <c r="E106">
        <v>31157</v>
      </c>
      <c r="F106">
        <f>DATEDIF(E106,TODAY(),"Y")</f>
        <v>40</v>
      </c>
      <c r="G106" t="str">
        <f>TEXT(E106,"MMMM")</f>
        <v>abril</v>
      </c>
      <c r="H106">
        <v>27998965321</v>
      </c>
      <c r="I106" t="str">
        <v>Feminino</v>
      </c>
      <c r="K106" t="str">
        <v>Casado(a)</v>
      </c>
      <c r="L106" t="str">
        <v xml:space="preserve">Joseph das Neves Azevedo </v>
      </c>
      <c r="N106" t="str">
        <v>Bela Vista</v>
      </c>
      <c r="O106">
        <v>15</v>
      </c>
      <c r="P106" t="str">
        <v xml:space="preserve">Arlindo Vilaschi </v>
      </c>
      <c r="Q106" t="str">
        <v>Viana</v>
      </c>
      <c r="R106" t="str">
        <v>ES</v>
      </c>
      <c r="S106">
        <v>29136180</v>
      </c>
      <c r="T106" t="str">
        <v>Sim</v>
      </c>
      <c r="U106" t="str">
        <v>Sim</v>
      </c>
      <c r="V106" t="str">
        <v>Ativo</v>
      </c>
      <c r="X106" t="str">
        <v>Não</v>
      </c>
      <c r="Y106" t="str">
        <v>Não</v>
      </c>
      <c r="Z106" t="str">
        <v>36 a 59 anos: Adulto</v>
      </c>
      <c r="AA106" t="str">
        <v>Não</v>
      </c>
      <c r="AB106" t="str">
        <v>Sem Grupo</v>
      </c>
      <c r="AC106" xml:space="preserve">
        <f xml:space="preserve">IFERROR(MATCH(G106,{"Janeiro";"Fevereiro";"Março";"Abril";"Maio";"Junho";"Julho";"Agosto";"Setembro";"Outubro";"Novembro";"Dezembro"},0),"")
</f>
        <v>4</v>
      </c>
      <c r="AD106" t="str">
        <v/>
      </c>
    </row>
    <row r="107" xml:space="preserve">
      <c r="A107">
        <v>45619.512870833336</v>
      </c>
      <c r="B107">
        <v>106</v>
      </c>
      <c r="C107" t="str">
        <f>UPPER(D107)</f>
        <v xml:space="preserve">MIGUEL WILL MONTEIRO COSTA DIAS </v>
      </c>
      <c r="D107" t="str">
        <v xml:space="preserve">Miguel Will monteiro costa dias </v>
      </c>
      <c r="E107">
        <v>41093</v>
      </c>
      <c r="F107">
        <f>DATEDIF(E107,TODAY(),"Y")</f>
        <v>13</v>
      </c>
      <c r="G107" t="str">
        <f>TEXT(E107,"MMMM")</f>
        <v>julho</v>
      </c>
      <c r="H107">
        <v>27998361927</v>
      </c>
      <c r="I107" t="str">
        <v>Masculino</v>
      </c>
      <c r="K107" t="str">
        <v>Solteiro(a)</v>
      </c>
      <c r="M107" t="str">
        <v xml:space="preserve">Bruna Will </v>
      </c>
      <c r="N107" t="str">
        <v xml:space="preserve">Abílio pontini </v>
      </c>
      <c r="O107">
        <v>145</v>
      </c>
      <c r="P107" t="str">
        <v xml:space="preserve">São Geraldo 2 </v>
      </c>
      <c r="Q107" t="str">
        <v>Cariacica</v>
      </c>
      <c r="R107" t="str">
        <v>ES</v>
      </c>
      <c r="S107">
        <v>29146805</v>
      </c>
      <c r="T107" t="str">
        <v>Sim</v>
      </c>
      <c r="U107" t="str">
        <v>Sim</v>
      </c>
      <c r="V107" t="str">
        <v>Ativo</v>
      </c>
      <c r="X107" t="str">
        <v>Não</v>
      </c>
      <c r="Y107" t="str">
        <v>Não</v>
      </c>
      <c r="Z107" t="str">
        <v>11 a 17 anos: Adolescente</v>
      </c>
      <c r="AA107" t="str">
        <v>Não</v>
      </c>
      <c r="AB107" t="str">
        <v>Sem Grupo</v>
      </c>
      <c r="AC107" xml:space="preserve">
        <f xml:space="preserve">IFERROR(MATCH(G107,{"Janeiro";"Fevereiro";"Março";"Abril";"Maio";"Junho";"Julho";"Agosto";"Setembro";"Outubro";"Novembro";"Dezembro"},0),"")
</f>
        <v>7</v>
      </c>
      <c r="AD107" t="str">
        <v/>
      </c>
    </row>
    <row r="108" xml:space="preserve">
      <c r="A108">
        <v>45620.45112268518</v>
      </c>
      <c r="B108">
        <v>107</v>
      </c>
      <c r="C108" t="str">
        <f>UPPER(D108)</f>
        <v>MILENA ALVES NASCIMENTO</v>
      </c>
      <c r="D108" t="str">
        <v>Milena Alves Nascimento</v>
      </c>
      <c r="E108">
        <v>43572</v>
      </c>
      <c r="F108">
        <f>DATEDIF(E108,TODAY(),"Y")</f>
        <v>6</v>
      </c>
      <c r="G108" t="str">
        <f>TEXT(E108,"MMMM")</f>
        <v>abril</v>
      </c>
      <c r="H108">
        <v>27995310232</v>
      </c>
      <c r="I108" t="str">
        <v>Feminino</v>
      </c>
      <c r="J108" t="str">
        <v>apt 302</v>
      </c>
      <c r="K108" t="str">
        <v>Solteiro(a)</v>
      </c>
      <c r="M108" t="str">
        <v>Miria Alves da Silva Nascimento</v>
      </c>
      <c r="N108" t="str">
        <v>Ametista</v>
      </c>
      <c r="O108">
        <v>25</v>
      </c>
      <c r="P108" t="str">
        <v>São Geraldo 1</v>
      </c>
      <c r="Q108" t="str">
        <v>Cariacica</v>
      </c>
      <c r="R108" t="str">
        <v>ES</v>
      </c>
      <c r="S108" t="str">
        <v>29146-679</v>
      </c>
      <c r="T108" t="str">
        <v>Não</v>
      </c>
      <c r="U108" t="str">
        <v>Não</v>
      </c>
      <c r="V108" t="str">
        <v>Ativo</v>
      </c>
      <c r="X108" t="str">
        <v>Não</v>
      </c>
      <c r="Y108" t="str">
        <v>Não</v>
      </c>
      <c r="Z108" t="str">
        <v>0 a 6 anos: Infância</v>
      </c>
      <c r="AA108" t="str">
        <v>Não</v>
      </c>
      <c r="AB108" t="str">
        <v>Sem Grupo</v>
      </c>
      <c r="AC108" xml:space="preserve">
        <f xml:space="preserve">IFERROR(MATCH(G108,{"Janeiro";"Fevereiro";"Março";"Abril";"Maio";"Junho";"Julho";"Agosto";"Setembro";"Outubro";"Novembro";"Dezembro"},0),"")
</f>
        <v>4</v>
      </c>
      <c r="AD108" t="str">
        <v/>
      </c>
    </row>
    <row r="109" xml:space="preserve">
      <c r="A109">
        <v>45619.45112268518</v>
      </c>
      <c r="B109">
        <v>108</v>
      </c>
      <c r="C109" t="str">
        <f>UPPER(D109)</f>
        <v xml:space="preserve">MIRIA ALVES DA SILVA NASCIMENTO </v>
      </c>
      <c r="D109" t="str">
        <v xml:space="preserve">Miria Alves da Silva Nascimento </v>
      </c>
      <c r="E109">
        <v>31641</v>
      </c>
      <c r="F109">
        <f>DATEDIF(E109,TODAY(),"Y")</f>
        <v>39</v>
      </c>
      <c r="G109" t="str">
        <f>TEXT(E109,"MMMM")</f>
        <v>agosto</v>
      </c>
      <c r="H109">
        <v>27995310232</v>
      </c>
      <c r="I109" t="str">
        <v>Feminino</v>
      </c>
      <c r="J109" t="str">
        <v>apt 302</v>
      </c>
      <c r="K109" t="str">
        <v>Casado(a)</v>
      </c>
      <c r="L109" t="str">
        <v>Rondiney Nascimento</v>
      </c>
      <c r="N109" t="str">
        <v>Ametista</v>
      </c>
      <c r="O109">
        <v>25</v>
      </c>
      <c r="P109" t="str">
        <v>São Geraldo 1</v>
      </c>
      <c r="Q109" t="str">
        <v>Cariacica</v>
      </c>
      <c r="R109" t="str">
        <v>ES</v>
      </c>
      <c r="S109" t="str">
        <v>29146-678</v>
      </c>
      <c r="T109" t="str">
        <v>Sim</v>
      </c>
      <c r="U109" t="str">
        <v>Sim</v>
      </c>
      <c r="V109" t="str">
        <v>Ativo</v>
      </c>
      <c r="X109" t="str">
        <v>Não</v>
      </c>
      <c r="Y109" t="str">
        <v>Não</v>
      </c>
      <c r="Z109" t="str">
        <v>36 a 59 anos: Adulto</v>
      </c>
      <c r="AA109" t="str">
        <v>Não</v>
      </c>
      <c r="AB109" t="str">
        <v>Sem Grupo</v>
      </c>
      <c r="AC109" xml:space="preserve">
        <f xml:space="preserve">IFERROR(MATCH(G109,{"Janeiro";"Fevereiro";"Março";"Abril";"Maio";"Junho";"Julho";"Agosto";"Setembro";"Outubro";"Novembro";"Dezembro"},0),"")
</f>
        <v>8</v>
      </c>
      <c r="AD109" t="str">
        <v/>
      </c>
    </row>
    <row r="110" xml:space="preserve">
      <c r="A110">
        <v>45914.92771962963</v>
      </c>
      <c r="B110">
        <v>109</v>
      </c>
      <c r="C110" t="str">
        <f>UPPER(D110)</f>
        <v xml:space="preserve">MIRIAM DA ROCHA PINA </v>
      </c>
      <c r="D110" t="str">
        <v xml:space="preserve">Miriam da Rocha Pina </v>
      </c>
      <c r="E110">
        <v>32423</v>
      </c>
      <c r="F110">
        <f>DATEDIF(E110,TODAY(),"Y")</f>
        <v>37</v>
      </c>
      <c r="G110" t="str">
        <f>TEXT(E110,"MMMM")</f>
        <v>outubro</v>
      </c>
      <c r="H110">
        <v>27996268387</v>
      </c>
      <c r="I110" t="str">
        <v>Feminino</v>
      </c>
      <c r="K110" t="str">
        <v>Casado(a)</v>
      </c>
      <c r="L110" t="str">
        <v xml:space="preserve">Juliano Lovatti Ramos </v>
      </c>
      <c r="M110" t="str">
        <v xml:space="preserve">Esposo </v>
      </c>
      <c r="N110" t="str">
        <v xml:space="preserve">Rua São Luiz </v>
      </c>
      <c r="O110">
        <v>230</v>
      </c>
      <c r="P110" t="str">
        <v xml:space="preserve">Itanguá </v>
      </c>
      <c r="Q110" t="str">
        <v>Cariacica</v>
      </c>
      <c r="R110" t="str">
        <v>ES</v>
      </c>
      <c r="S110">
        <v>29149771</v>
      </c>
      <c r="T110" t="str">
        <v>Sim</v>
      </c>
      <c r="U110" t="str">
        <v>Sim</v>
      </c>
      <c r="V110" t="str">
        <v>Ativo</v>
      </c>
      <c r="X110" t="str">
        <v>Não</v>
      </c>
      <c r="Y110" t="str">
        <v>Não</v>
      </c>
      <c r="Z110" t="str">
        <v>36 a 59 anos: Adulto</v>
      </c>
      <c r="AA110" t="str">
        <v>Não</v>
      </c>
      <c r="AB110" t="str">
        <v>Sem Grupo</v>
      </c>
      <c r="AC110" xml:space="preserve">
        <f xml:space="preserve">IFERROR(MATCH(G110,{"Janeiro";"Fevereiro";"Março";"Abril";"Maio";"Junho";"Julho";"Agosto";"Setembro";"Outubro";"Novembro";"Dezembro"},0),"")
</f>
        <v>10</v>
      </c>
      <c r="AD110" t="str">
        <v/>
      </c>
    </row>
    <row r="111" xml:space="preserve">
      <c r="A111">
        <v>45621.80356875</v>
      </c>
      <c r="B111">
        <v>110</v>
      </c>
      <c r="C111" t="str">
        <f>UPPER(D111)</f>
        <v>NATHAN RONQUETTI LIMA</v>
      </c>
      <c r="D111" t="str">
        <v>Nathan Ronquetti Lima</v>
      </c>
      <c r="E111">
        <v>44992</v>
      </c>
      <c r="F111">
        <f>DATEDIF(E111,TODAY(),"Y")</f>
        <v>2</v>
      </c>
      <c r="G111" t="str">
        <f>TEXT(E111,"MMMM")</f>
        <v>março</v>
      </c>
      <c r="H111">
        <v>27997629765</v>
      </c>
      <c r="I111" t="str">
        <v>Masculino</v>
      </c>
      <c r="K111" t="str">
        <v>Solteiro(a)</v>
      </c>
      <c r="M111" t="str">
        <v>Gildazio Lima dos Santos</v>
      </c>
      <c r="N111" t="str">
        <v>O</v>
      </c>
      <c r="O111" t="str">
        <v>06</v>
      </c>
      <c r="P111" t="str">
        <v>Campo verde</v>
      </c>
      <c r="Q111" t="str">
        <v>Viana</v>
      </c>
      <c r="R111" t="str">
        <v>ES</v>
      </c>
      <c r="S111">
        <v>29138445</v>
      </c>
      <c r="T111" t="str">
        <v>Não</v>
      </c>
      <c r="U111" t="str">
        <v>Não</v>
      </c>
      <c r="V111" t="str">
        <v>Ativo</v>
      </c>
      <c r="X111" t="str">
        <v>Não</v>
      </c>
      <c r="Y111" t="str">
        <v>Não</v>
      </c>
      <c r="Z111" t="str">
        <v>0 a 6 anos: Infância</v>
      </c>
      <c r="AA111" t="str">
        <v>Não</v>
      </c>
      <c r="AB111" t="str">
        <v>Sem Grupo</v>
      </c>
      <c r="AC111" xml:space="preserve">
        <f xml:space="preserve">IFERROR(MATCH(G111,{"Janeiro";"Fevereiro";"Março";"Abril";"Maio";"Junho";"Julho";"Agosto";"Setembro";"Outubro";"Novembro";"Dezembro"},0),"")
</f>
        <v>3</v>
      </c>
      <c r="AD111" t="str">
        <v/>
      </c>
    </row>
    <row r="112" xml:space="preserve">
      <c r="A112">
        <v>45623.641746284724</v>
      </c>
      <c r="B112">
        <v>111</v>
      </c>
      <c r="C112" t="str">
        <f>UPPER(D112)</f>
        <v>NEUDIMAR DE OLIVEIRA MOTA</v>
      </c>
      <c r="D112" t="str">
        <v>Neudimar de oliveira mota</v>
      </c>
      <c r="E112">
        <v>26884</v>
      </c>
      <c r="F112">
        <f>DATEDIF(E112,TODAY(),"Y")</f>
        <v>52</v>
      </c>
      <c r="G112" t="str">
        <f>TEXT(E112,"MMMM")</f>
        <v>agosto</v>
      </c>
      <c r="H112">
        <v>27999073240</v>
      </c>
      <c r="I112" t="str">
        <v>Feminino</v>
      </c>
      <c r="K112" t="str">
        <v>Casado(a)</v>
      </c>
      <c r="L112" t="str">
        <v>Ubiranel da Silveira Mota</v>
      </c>
      <c r="N112" t="str">
        <v xml:space="preserve">Evaristo canal </v>
      </c>
      <c r="O112">
        <v>52</v>
      </c>
      <c r="P112" t="str">
        <v xml:space="preserve">Ipanema </v>
      </c>
      <c r="Q112" t="str">
        <v>Viana</v>
      </c>
      <c r="R112" t="str">
        <v>ES</v>
      </c>
      <c r="S112">
        <v>29134513</v>
      </c>
      <c r="T112" t="str">
        <v>Sim</v>
      </c>
      <c r="U112" t="str">
        <v>Sim</v>
      </c>
      <c r="V112" t="str">
        <v>Ativo</v>
      </c>
      <c r="X112" t="str">
        <v>Não</v>
      </c>
      <c r="Y112" t="str">
        <v>Não</v>
      </c>
      <c r="Z112" t="str">
        <v>36 a 59 anos: Adulto</v>
      </c>
      <c r="AA112" t="str">
        <v>Não</v>
      </c>
      <c r="AB112" t="str">
        <v>Sem Grupo</v>
      </c>
      <c r="AC112" xml:space="preserve">
        <f xml:space="preserve">IFERROR(MATCH(G112,{"Janeiro";"Fevereiro";"Março";"Abril";"Maio";"Junho";"Julho";"Agosto";"Setembro";"Outubro";"Novembro";"Dezembro"},0),"")
</f>
        <v>8</v>
      </c>
      <c r="AD112" t="str">
        <v/>
      </c>
    </row>
    <row r="113" xml:space="preserve">
      <c r="A113">
        <v>45615.605603344906</v>
      </c>
      <c r="B113">
        <v>112</v>
      </c>
      <c r="C113" t="str">
        <f>UPPER(D113)</f>
        <v xml:space="preserve">NILSON FRAGA CELESTINO </v>
      </c>
      <c r="D113" t="str">
        <v xml:space="preserve">Nilson fraga Celestino </v>
      </c>
      <c r="E113">
        <v>26840</v>
      </c>
      <c r="F113">
        <f>DATEDIF(E113,TODAY(),"Y")</f>
        <v>52</v>
      </c>
      <c r="G113" t="str">
        <f>TEXT(E113,"MMMM")</f>
        <v>junho</v>
      </c>
      <c r="H113">
        <v>27997723358</v>
      </c>
      <c r="I113" t="str">
        <v>Masculino</v>
      </c>
      <c r="K113" t="str">
        <v>Casado(a)</v>
      </c>
      <c r="L113" t="str">
        <v xml:space="preserve">Vasthi ferreira Gomes fraga </v>
      </c>
      <c r="N113" t="str">
        <v xml:space="preserve">Atílio Esperandio </v>
      </c>
      <c r="O113">
        <v>249</v>
      </c>
      <c r="P113" t="str">
        <v xml:space="preserve">Joana dark </v>
      </c>
      <c r="Q113" t="str">
        <v>Vitória</v>
      </c>
      <c r="R113" t="str">
        <v>ES</v>
      </c>
      <c r="S113">
        <v>29048040</v>
      </c>
      <c r="T113" t="str">
        <v>Sim</v>
      </c>
      <c r="U113" t="str">
        <v>Não</v>
      </c>
      <c r="V113" t="str">
        <v>Desligado</v>
      </c>
      <c r="W113" t="str">
        <v>Desligados dia 03/12/027</v>
      </c>
      <c r="X113" t="str">
        <v>Não</v>
      </c>
      <c r="Y113" t="str">
        <v>Não</v>
      </c>
      <c r="Z113" t="str">
        <v>36 a 59 anos: Adulto</v>
      </c>
      <c r="AA113" t="str">
        <v>Não</v>
      </c>
      <c r="AB113" t="str">
        <v>Sem Grupo</v>
      </c>
      <c r="AC113" xml:space="preserve">
        <f xml:space="preserve">IFERROR(MATCH(G113,{"Janeiro";"Fevereiro";"Março";"Abril";"Maio";"Junho";"Julho";"Agosto";"Setembro";"Outubro";"Novembro";"Dezembro"},0),"")
</f>
        <v>6</v>
      </c>
      <c r="AD113" t="str">
        <v/>
      </c>
    </row>
    <row r="114" xml:space="preserve">
      <c r="A114">
        <v>45616.672678981486</v>
      </c>
      <c r="B114">
        <v>113</v>
      </c>
      <c r="C114" t="str">
        <f>UPPER(D114)</f>
        <v>ODAIR ARANTES ALVES - FALECIDO</v>
      </c>
      <c r="D114" t="str">
        <v>Odair Arantes Alves - Falecido</v>
      </c>
      <c r="E114">
        <v>26292</v>
      </c>
      <c r="F114">
        <f>DATEDIF(E114,TODAY(),"Y")</f>
        <v>53</v>
      </c>
      <c r="G114" t="str">
        <f>TEXT(E114,"MMMM")</f>
        <v>dezembro</v>
      </c>
      <c r="H114">
        <v>27992589813</v>
      </c>
      <c r="I114" t="str">
        <v>Masculino</v>
      </c>
      <c r="J114" t="str">
        <v>Óbito 17/01/2025</v>
      </c>
      <c r="K114" t="str">
        <v>Casado(a)</v>
      </c>
      <c r="L114" t="str">
        <v xml:space="preserve">Maricelia da Cruz Izidoro Arantes Alves </v>
      </c>
      <c r="N114" t="str">
        <v>Odonia da Costa Machado Toledo</v>
      </c>
      <c r="O114">
        <v>311</v>
      </c>
      <c r="P114" t="str">
        <v xml:space="preserve">Campina Grande </v>
      </c>
      <c r="Q114" t="str">
        <v>Cariacica</v>
      </c>
      <c r="R114" t="str">
        <v>ES</v>
      </c>
      <c r="S114">
        <v>29144375</v>
      </c>
      <c r="T114" t="str">
        <v>Sim</v>
      </c>
      <c r="U114" t="str">
        <v>Não</v>
      </c>
      <c r="V114" t="str">
        <v>Desligado</v>
      </c>
      <c r="W114" t="str">
        <v>Desligados dia 03/12/028</v>
      </c>
      <c r="X114" t="str">
        <v>Não</v>
      </c>
      <c r="Y114" t="str">
        <v>Não</v>
      </c>
      <c r="Z114" t="str">
        <v>36 a 59 anos: Adulto</v>
      </c>
      <c r="AA114" t="str">
        <v>Não</v>
      </c>
      <c r="AB114" t="str">
        <v>Sem Grupo</v>
      </c>
      <c r="AC114" xml:space="preserve">
        <f xml:space="preserve">IFERROR(MATCH(G114,{"Janeiro";"Fevereiro";"Março";"Abril";"Maio";"Junho";"Julho";"Agosto";"Setembro";"Outubro";"Novembro";"Dezembro"},0),"")
</f>
        <v>12</v>
      </c>
      <c r="AD114" t="str">
        <v/>
      </c>
    </row>
    <row r="115" xml:space="preserve">
      <c r="A115">
        <v>45618.50549675926</v>
      </c>
      <c r="B115">
        <v>114</v>
      </c>
      <c r="C115" t="str">
        <f>UPPER(D115)</f>
        <v xml:space="preserve">PEDRO MARCOS ROLIM </v>
      </c>
      <c r="D115" t="str">
        <v xml:space="preserve">Pedro Marcos Rolim </v>
      </c>
      <c r="E115">
        <v>24839</v>
      </c>
      <c r="F115">
        <f>DATEDIF(E115,TODAY(),"Y")</f>
        <v>57</v>
      </c>
      <c r="G115" t="str">
        <f>TEXT(E115,"MMMM")</f>
        <v>janeiro</v>
      </c>
      <c r="H115">
        <v>27998638921</v>
      </c>
      <c r="I115" t="str">
        <v>Masculino</v>
      </c>
      <c r="K115" t="str">
        <v>Casado(a)</v>
      </c>
      <c r="L115" t="str">
        <v>Marli do Carmo Da Silva Rolim</v>
      </c>
      <c r="N115" t="str">
        <v xml:space="preserve">Nossa Senhora Aparecida </v>
      </c>
      <c r="O115">
        <v>37</v>
      </c>
      <c r="P115" t="str">
        <v>São Geraldo 1</v>
      </c>
      <c r="Q115" t="str">
        <v>Cariacica</v>
      </c>
      <c r="R115" t="str">
        <v>ES</v>
      </c>
      <c r="S115">
        <v>29146653</v>
      </c>
      <c r="T115" t="str">
        <v>Sim</v>
      </c>
      <c r="U115" t="str">
        <v>Sim</v>
      </c>
      <c r="V115" t="str">
        <v>Ativo</v>
      </c>
      <c r="X115" t="str">
        <v>Sim</v>
      </c>
      <c r="Y115" t="str">
        <v>Não</v>
      </c>
      <c r="Z115" t="str">
        <v>36 a 59 anos: Adulto</v>
      </c>
      <c r="AA115" t="str">
        <v>Não</v>
      </c>
      <c r="AB115" t="str">
        <v>Sem Grupo</v>
      </c>
      <c r="AC115" xml:space="preserve">
        <f xml:space="preserve">IFERROR(MATCH(G115,{"Janeiro";"Fevereiro";"Março";"Abril";"Maio";"Junho";"Julho";"Agosto";"Setembro";"Outubro";"Novembro";"Dezembro"},0),"")
</f>
        <v>1</v>
      </c>
      <c r="AD115" t="str">
        <v/>
      </c>
    </row>
    <row r="116" xml:space="preserve">
      <c r="A116">
        <v>45615.597886250005</v>
      </c>
      <c r="B116">
        <v>115</v>
      </c>
      <c r="C116" t="str">
        <f>UPPER(D116)</f>
        <v xml:space="preserve">PEDRO TOREZANI FERREIRA </v>
      </c>
      <c r="D116" t="str">
        <v xml:space="preserve">Pedro Torezani Ferreira </v>
      </c>
      <c r="E116">
        <v>42158</v>
      </c>
      <c r="F116">
        <f>DATEDIF(E116,TODAY(),"Y")</f>
        <v>10</v>
      </c>
      <c r="G116" t="str">
        <f>TEXT(E116,"MMMM")</f>
        <v>junho</v>
      </c>
      <c r="H116">
        <v>27998772135</v>
      </c>
      <c r="I116" t="str">
        <v>Masculino</v>
      </c>
      <c r="K116" t="str">
        <v>Solteiro(a)</v>
      </c>
      <c r="M116" t="str">
        <v xml:space="preserve">Fábio Nunes Ferreira </v>
      </c>
      <c r="N116" t="str">
        <v xml:space="preserve">Da comunidade </v>
      </c>
      <c r="O116">
        <v>255</v>
      </c>
      <c r="P116" t="str">
        <v xml:space="preserve">Rosa da Penha </v>
      </c>
      <c r="Q116" t="str">
        <v>Cariacica</v>
      </c>
      <c r="R116" t="str">
        <v>ES</v>
      </c>
      <c r="S116">
        <v>29143430</v>
      </c>
      <c r="T116" t="str">
        <v>Não</v>
      </c>
      <c r="U116" t="str">
        <v>Não</v>
      </c>
      <c r="V116" t="str">
        <v>Ativo</v>
      </c>
      <c r="X116" t="str">
        <v>Não</v>
      </c>
      <c r="Y116" t="str">
        <v>Não</v>
      </c>
      <c r="Z116" t="str">
        <v>7 a 10 anos: Criança</v>
      </c>
      <c r="AA116" t="str">
        <v>Não</v>
      </c>
      <c r="AB116" t="str">
        <v>Sem Grupo</v>
      </c>
      <c r="AC116" xml:space="preserve">
        <f xml:space="preserve">IFERROR(MATCH(G116,{"Janeiro";"Fevereiro";"Março";"Abril";"Maio";"Junho";"Julho";"Agosto";"Setembro";"Outubro";"Novembro";"Dezembro"},0),"")
</f>
        <v>6</v>
      </c>
      <c r="AD116" t="str">
        <v/>
      </c>
    </row>
    <row r="117" xml:space="preserve">
      <c r="A117">
        <v>45620.4039475926</v>
      </c>
      <c r="B117">
        <v>116</v>
      </c>
      <c r="C117" t="str">
        <f>UPPER(D117)</f>
        <v xml:space="preserve">PROTAZIO REZENDE CARVALHO </v>
      </c>
      <c r="D117" t="str">
        <v xml:space="preserve">Protazio Rezende Carvalho </v>
      </c>
      <c r="E117">
        <v>34630</v>
      </c>
      <c r="F117">
        <f>DATEDIF(E117,TODAY(),"Y")</f>
        <v>31</v>
      </c>
      <c r="G117" t="str">
        <f>TEXT(E117,"MMMM")</f>
        <v>outubro</v>
      </c>
      <c r="H117">
        <v>27988162828</v>
      </c>
      <c r="I117" t="str">
        <v>Masculino</v>
      </c>
      <c r="K117" t="str">
        <v>Casado(a)</v>
      </c>
      <c r="L117" t="str">
        <v xml:space="preserve">Thiffany Fernandes de Brito </v>
      </c>
      <c r="N117" t="str">
        <v xml:space="preserve">Serra da mantiqueira </v>
      </c>
      <c r="O117">
        <v>66</v>
      </c>
      <c r="P117" t="str">
        <v xml:space="preserve">Nova Bethânia </v>
      </c>
      <c r="Q117" t="str">
        <v>Viana</v>
      </c>
      <c r="R117" t="str">
        <v>ES</v>
      </c>
      <c r="S117">
        <v>29138189</v>
      </c>
      <c r="T117" t="str">
        <v>Sim</v>
      </c>
      <c r="U117" t="str">
        <v>Sim</v>
      </c>
      <c r="V117" t="str">
        <v>Ativo</v>
      </c>
      <c r="X117" t="str">
        <v>Não</v>
      </c>
      <c r="Y117" t="str">
        <v>Não</v>
      </c>
      <c r="Z117" t="str">
        <v>18 a 35 anos: Jovem</v>
      </c>
      <c r="AA117" t="str">
        <v>Não</v>
      </c>
      <c r="AB117" t="str">
        <v>Sem Grupo</v>
      </c>
      <c r="AC117" xml:space="preserve">
        <f xml:space="preserve">IFERROR(MATCH(G117,{"Janeiro";"Fevereiro";"Março";"Abril";"Maio";"Junho";"Julho";"Agosto";"Setembro";"Outubro";"Novembro";"Dezembro"},0),"")
</f>
        <v>10</v>
      </c>
      <c r="AD117" t="str">
        <v/>
      </c>
    </row>
    <row r="118" xml:space="preserve">
      <c r="A118">
        <v>45617.429329652776</v>
      </c>
      <c r="B118">
        <v>117</v>
      </c>
      <c r="C118" t="str">
        <f>UPPER(D118)</f>
        <v>RAFAELLA PEREIRA SOARES</v>
      </c>
      <c r="D118" t="str">
        <v>Rafaella Pereira Soares</v>
      </c>
      <c r="E118">
        <v>32684</v>
      </c>
      <c r="F118">
        <f>DATEDIF(E118,TODAY(),"Y")</f>
        <v>36</v>
      </c>
      <c r="G118" t="str">
        <f>TEXT(E118,"MMMM")</f>
        <v>junho</v>
      </c>
      <c r="H118">
        <v>27995239761</v>
      </c>
      <c r="I118" t="str">
        <v>Feminino</v>
      </c>
      <c r="K118" t="str">
        <v>Casado(a)</v>
      </c>
      <c r="L118" t="str">
        <v>Mayk Helthon Lima Herzog</v>
      </c>
      <c r="N118" t="str">
        <v>São João</v>
      </c>
      <c r="O118">
        <v>42</v>
      </c>
      <c r="P118" t="str">
        <v xml:space="preserve">Santo André </v>
      </c>
      <c r="Q118" t="str">
        <v>Cariacica</v>
      </c>
      <c r="R118" t="str">
        <v>ES</v>
      </c>
      <c r="S118">
        <v>29144766</v>
      </c>
      <c r="T118" t="str">
        <v>Sim</v>
      </c>
      <c r="U118" t="str">
        <v>Sim</v>
      </c>
      <c r="V118" t="str">
        <v>Ativo</v>
      </c>
      <c r="X118" t="str">
        <v>Não</v>
      </c>
      <c r="Y118" t="str">
        <v>Não</v>
      </c>
      <c r="Z118" t="str">
        <v>36 a 59 anos: Adulto</v>
      </c>
      <c r="AA118" t="str">
        <v>Não</v>
      </c>
      <c r="AB118" t="str">
        <v>Sem Grupo</v>
      </c>
      <c r="AC118" xml:space="preserve">
        <f xml:space="preserve">IFERROR(MATCH(G118,{"Janeiro";"Fevereiro";"Março";"Abril";"Maio";"Junho";"Julho";"Agosto";"Setembro";"Outubro";"Novembro";"Dezembro"},0),"")
</f>
        <v>6</v>
      </c>
      <c r="AD118" t="str">
        <v/>
      </c>
    </row>
    <row r="119" xml:space="preserve">
      <c r="A119">
        <v>45620.472676550926</v>
      </c>
      <c r="B119">
        <v>118</v>
      </c>
      <c r="C119" t="str">
        <f>UPPER(D119)</f>
        <v xml:space="preserve">RAQUEL LIMA DOS SANTOS </v>
      </c>
      <c r="D119" t="str">
        <v xml:space="preserve">Raquel lima dos santos </v>
      </c>
      <c r="E119">
        <v>35840</v>
      </c>
      <c r="F119">
        <f>DATEDIF(E119,TODAY(),"Y")</f>
        <v>27</v>
      </c>
      <c r="G119" t="str">
        <f>TEXT(E119,"MMMM")</f>
        <v>fevereiro</v>
      </c>
      <c r="H119">
        <v>27988824139</v>
      </c>
      <c r="I119" t="str">
        <v>Feminino</v>
      </c>
      <c r="K119" t="str">
        <v>Solteiro(a)</v>
      </c>
      <c r="N119" t="str">
        <v xml:space="preserve">Horizonte feliz </v>
      </c>
      <c r="O119">
        <v>43</v>
      </c>
      <c r="P119" t="str">
        <v xml:space="preserve">Campina grande </v>
      </c>
      <c r="Q119" t="str">
        <v>Cariacica</v>
      </c>
      <c r="R119" t="str">
        <v>ES</v>
      </c>
      <c r="S119">
        <v>29144306</v>
      </c>
      <c r="T119" t="str">
        <v>Sim</v>
      </c>
      <c r="U119" t="str">
        <v>Sim</v>
      </c>
      <c r="V119" t="str">
        <v>Ativo</v>
      </c>
      <c r="X119" t="str">
        <v>Não</v>
      </c>
      <c r="Y119" t="str">
        <v>Não</v>
      </c>
      <c r="Z119" t="str">
        <v>18 a 35 anos: Jovem</v>
      </c>
      <c r="AA119" t="str">
        <v>Não</v>
      </c>
      <c r="AB119" t="str">
        <v>Sem Grupo</v>
      </c>
      <c r="AC119" xml:space="preserve">
        <f xml:space="preserve">IFERROR(MATCH(G119,{"Janeiro";"Fevereiro";"Março";"Abril";"Maio";"Junho";"Julho";"Agosto";"Setembro";"Outubro";"Novembro";"Dezembro"},0),"")
</f>
        <v>2</v>
      </c>
      <c r="AD119" t="str">
        <v/>
      </c>
    </row>
    <row r="120" xml:space="preserve">
      <c r="A120">
        <v>45614.50370244213</v>
      </c>
      <c r="B120">
        <v>119</v>
      </c>
      <c r="C120" t="str">
        <f>UPPER(D120)</f>
        <v xml:space="preserve">REBECA ARANTES ALVES PRESENZA </v>
      </c>
      <c r="D120" t="str">
        <v xml:space="preserve">Rebeca Arantes Alves Presenza </v>
      </c>
      <c r="E120">
        <v>36253</v>
      </c>
      <c r="F120">
        <f>DATEDIF(E120,TODAY(),"Y")</f>
        <v>26</v>
      </c>
      <c r="G120" t="str">
        <f>TEXT(E120,"MMMM")</f>
        <v>abril</v>
      </c>
      <c r="H120">
        <v>27998876750</v>
      </c>
      <c r="I120" t="str">
        <v>Feminino</v>
      </c>
      <c r="K120" t="str">
        <v>Casado(a)</v>
      </c>
      <c r="L120" t="str">
        <v xml:space="preserve">Anderson Presenza Lima </v>
      </c>
      <c r="N120" t="str">
        <v xml:space="preserve">São João </v>
      </c>
      <c r="O120" t="str">
        <v>38bf</v>
      </c>
      <c r="P120" t="str">
        <v xml:space="preserve">Santo André </v>
      </c>
      <c r="Q120" t="str">
        <v>Cariacica</v>
      </c>
      <c r="R120" t="str">
        <v>ES</v>
      </c>
      <c r="S120">
        <v>29144766</v>
      </c>
      <c r="T120" t="str">
        <v>Sim</v>
      </c>
      <c r="U120" t="str">
        <v>Sim</v>
      </c>
      <c r="V120" t="str">
        <v>Ativo</v>
      </c>
      <c r="X120" t="str">
        <v>Não</v>
      </c>
      <c r="Y120" t="str">
        <v>Não</v>
      </c>
      <c r="Z120" t="str">
        <v>18 a 35 anos: Jovem</v>
      </c>
      <c r="AA120" t="str">
        <v>Não</v>
      </c>
      <c r="AB120" t="str">
        <v>Sem Grupo</v>
      </c>
      <c r="AC120" xml:space="preserve">
        <f xml:space="preserve">IFERROR(MATCH(G120,{"Janeiro";"Fevereiro";"Março";"Abril";"Maio";"Junho";"Julho";"Agosto";"Setembro";"Outubro";"Novembro";"Dezembro"},0),"")
</f>
        <v>4</v>
      </c>
      <c r="AD120" t="str">
        <v/>
      </c>
    </row>
    <row r="121" xml:space="preserve">
      <c r="A121">
        <v>45701.66811666667</v>
      </c>
      <c r="B121">
        <v>120</v>
      </c>
      <c r="C121" t="str">
        <f>UPPER(D121)</f>
        <v>REGINA CÉLIA MARTINS BASTOS E CRUZ</v>
      </c>
      <c r="D121" t="str">
        <v>Regina Célia Martins Bastos e Cruz</v>
      </c>
      <c r="E121">
        <v>22950</v>
      </c>
      <c r="F121">
        <f>DATEDIF(E121,TODAY(),"Y")</f>
        <v>63</v>
      </c>
      <c r="G121" t="str">
        <f>TEXT(E121,"MMMM")</f>
        <v>outubro</v>
      </c>
      <c r="H121">
        <v>27998060509</v>
      </c>
      <c r="I121" t="str">
        <v>Feminino</v>
      </c>
      <c r="J121" t="str">
        <v>numero da casa 9, (613 pelo GPS)</v>
      </c>
      <c r="K121" t="str">
        <v>Viúvo(a)</v>
      </c>
      <c r="N121" t="str">
        <v>Avenida Costa Brandão</v>
      </c>
      <c r="O121">
        <v>9</v>
      </c>
      <c r="P121" t="str">
        <v>São Geraldo 2</v>
      </c>
      <c r="Q121" t="str">
        <v>Cariacica</v>
      </c>
      <c r="R121" t="str">
        <v>ES</v>
      </c>
      <c r="S121">
        <v>29146835</v>
      </c>
      <c r="T121" t="str">
        <v>Sim</v>
      </c>
      <c r="U121" t="str">
        <v>Sim</v>
      </c>
      <c r="V121" t="str">
        <v>Ativo</v>
      </c>
      <c r="X121" t="str">
        <v>Não</v>
      </c>
      <c r="Y121" t="str">
        <v>Não</v>
      </c>
      <c r="Z121" t="str">
        <v>60+ anos</v>
      </c>
      <c r="AA121" t="str">
        <v>Não</v>
      </c>
      <c r="AB121" t="str">
        <v>Sem Grupo</v>
      </c>
      <c r="AC121" xml:space="preserve">
        <f xml:space="preserve">IFERROR(MATCH(G121,{"Janeiro";"Fevereiro";"Março";"Abril";"Maio";"Junho";"Julho";"Agosto";"Setembro";"Outubro";"Novembro";"Dezembro"},0),"")
</f>
        <v>10</v>
      </c>
      <c r="AD121" t="str">
        <v/>
      </c>
    </row>
    <row r="122" xml:space="preserve">
      <c r="A122">
        <v>45614.51479732639</v>
      </c>
      <c r="B122">
        <v>121</v>
      </c>
      <c r="C122" t="str">
        <f>UPPER(D122)</f>
        <v xml:space="preserve">RICHARDISON SILVA LOPES </v>
      </c>
      <c r="D122" t="str">
        <v xml:space="preserve">Richardison Silva Lopes </v>
      </c>
      <c r="E122">
        <v>35163</v>
      </c>
      <c r="F122">
        <f>DATEDIF(E122,TODAY(),"Y")</f>
        <v>29</v>
      </c>
      <c r="G122" t="str">
        <f>TEXT(E122,"MMMM")</f>
        <v>abril</v>
      </c>
      <c r="H122">
        <v>27997737276</v>
      </c>
      <c r="I122" t="str">
        <v>Masculino</v>
      </c>
      <c r="K122" t="str">
        <v>Casado(a)</v>
      </c>
      <c r="L122" t="str">
        <v xml:space="preserve">Larissa Theodoro da Silva </v>
      </c>
      <c r="N122" t="str">
        <v xml:space="preserve">Itaguaçu </v>
      </c>
      <c r="O122">
        <v>35</v>
      </c>
      <c r="P122" t="str">
        <v>Morada de Santa Fé</v>
      </c>
      <c r="Q122" t="str">
        <v>Cariacica</v>
      </c>
      <c r="R122" t="str">
        <v>ES</v>
      </c>
      <c r="S122">
        <v>29143666</v>
      </c>
      <c r="T122" t="str">
        <v>Sim</v>
      </c>
      <c r="U122" t="str">
        <v>Sim</v>
      </c>
      <c r="V122" t="str">
        <v>Ativo</v>
      </c>
      <c r="X122" t="str">
        <v>Sim</v>
      </c>
      <c r="Y122" t="str">
        <v>Sim</v>
      </c>
      <c r="Z122" t="str">
        <v>18 a 35 anos: Jovem</v>
      </c>
      <c r="AA122" t="str">
        <v>Não</v>
      </c>
      <c r="AB122" t="str">
        <v>Sem Grupo</v>
      </c>
      <c r="AC122" xml:space="preserve">
        <f xml:space="preserve">IFERROR(MATCH(G122,{"Janeiro";"Fevereiro";"Março";"Abril";"Maio";"Junho";"Julho";"Agosto";"Setembro";"Outubro";"Novembro";"Dezembro"},0),"")
</f>
        <v>4</v>
      </c>
      <c r="AD122" t="str">
        <v/>
      </c>
    </row>
    <row r="123" xml:space="preserve">
      <c r="A123">
        <v>45614.522634305555</v>
      </c>
      <c r="B123">
        <v>122</v>
      </c>
      <c r="C123" t="str">
        <f>UPPER(D123)</f>
        <v>RINA MENDONÇA GOMES - FALECIDA</v>
      </c>
      <c r="D123" t="str">
        <v>Rina Mendonça Gomes - Falecida</v>
      </c>
      <c r="E123">
        <v>28117</v>
      </c>
      <c r="F123">
        <f>DATEDIF(E123,TODAY(),"Y")</f>
        <v>48</v>
      </c>
      <c r="G123" t="str">
        <f>TEXT(E123,"MMMM")</f>
        <v>dezembro</v>
      </c>
      <c r="H123">
        <v>27998590201</v>
      </c>
      <c r="I123" t="str">
        <v>Feminino</v>
      </c>
      <c r="J123" t="str">
        <v>Óbito 05/10/2025</v>
      </c>
      <c r="K123" t="str">
        <v>Casado(a)</v>
      </c>
      <c r="L123" t="str">
        <v>Clebet de Jesus Sepulcro</v>
      </c>
      <c r="N123" t="str">
        <v>Claricio Alves Ribeiro</v>
      </c>
      <c r="O123">
        <v>100</v>
      </c>
      <c r="P123" t="str">
        <v>Itanguá</v>
      </c>
      <c r="Q123" t="str">
        <v>Cariacica</v>
      </c>
      <c r="R123" t="str">
        <v>ES</v>
      </c>
      <c r="S123" t="str">
        <v xml:space="preserve">29149-800 </v>
      </c>
      <c r="T123" t="str">
        <v>Sim</v>
      </c>
      <c r="U123" t="str">
        <v>Não</v>
      </c>
      <c r="V123" t="str">
        <v>Desligado</v>
      </c>
      <c r="W123" t="str">
        <v>Desligados dia 03/12/029</v>
      </c>
      <c r="X123" t="str">
        <v>Não</v>
      </c>
      <c r="Y123" t="str">
        <v>Não</v>
      </c>
      <c r="Z123" t="str">
        <v>36 a 59 anos: Adulto</v>
      </c>
      <c r="AA123" t="str">
        <v>Não</v>
      </c>
      <c r="AB123" t="str">
        <v>Sem Grupo</v>
      </c>
      <c r="AC123" xml:space="preserve">
        <f xml:space="preserve">IFERROR(MATCH(G123,{"Janeiro";"Fevereiro";"Março";"Abril";"Maio";"Junho";"Julho";"Agosto";"Setembro";"Outubro";"Novembro";"Dezembro"},0),"")
</f>
        <v>12</v>
      </c>
      <c r="AD123" t="str">
        <v/>
      </c>
    </row>
    <row r="124" xml:space="preserve">
      <c r="A124">
        <v>45624.88337114583</v>
      </c>
      <c r="B124">
        <v>123</v>
      </c>
      <c r="C124" t="str">
        <f>UPPER(D124)</f>
        <v xml:space="preserve">RITA DE CASSIA RODRIGUES DE PAULA </v>
      </c>
      <c r="D124" t="str">
        <v xml:space="preserve">Rita de Cassia Rodrigues de paula </v>
      </c>
      <c r="E124">
        <v>22018</v>
      </c>
      <c r="F124">
        <f>DATEDIF(E124,TODAY(),"Y")</f>
        <v>65</v>
      </c>
      <c r="G124" t="str">
        <f>TEXT(E124,"MMMM")</f>
        <v>abril</v>
      </c>
      <c r="H124">
        <v>27999280162</v>
      </c>
      <c r="I124" t="str">
        <v>Feminino</v>
      </c>
      <c r="J124" t="str">
        <v>Viuva</v>
      </c>
      <c r="K124" t="str">
        <v>Viúvo(a)</v>
      </c>
      <c r="N124" t="str">
        <v xml:space="preserve">coronel Bráulio dória </v>
      </c>
      <c r="O124">
        <v>93</v>
      </c>
      <c r="P124" t="str">
        <v xml:space="preserve">São Cristóvão </v>
      </c>
      <c r="Q124" t="str">
        <v>Vitória</v>
      </c>
      <c r="R124" t="str">
        <v>ES</v>
      </c>
      <c r="T124" t="str">
        <v>Sim</v>
      </c>
      <c r="U124" t="str">
        <v>Sim</v>
      </c>
      <c r="V124" t="str">
        <v>Ativo</v>
      </c>
      <c r="X124" t="str">
        <v>Não</v>
      </c>
      <c r="Y124" t="str">
        <v>Não</v>
      </c>
      <c r="Z124" t="str">
        <v>60+ anos</v>
      </c>
      <c r="AA124" t="str">
        <v>Não</v>
      </c>
      <c r="AB124" t="str">
        <v>Sem Grupo</v>
      </c>
      <c r="AC124" xml:space="preserve">
        <f xml:space="preserve">IFERROR(MATCH(G124,{"Janeiro";"Fevereiro";"Março";"Abril";"Maio";"Junho";"Julho";"Agosto";"Setembro";"Outubro";"Novembro";"Dezembro"},0),"")
</f>
        <v>4</v>
      </c>
      <c r="AD124" t="str">
        <v/>
      </c>
    </row>
    <row r="125" xml:space="preserve">
      <c r="A125">
        <v>45630.810346909726</v>
      </c>
      <c r="B125">
        <v>124</v>
      </c>
      <c r="C125" t="str">
        <f>UPPER(D125)</f>
        <v>ROBERTA ITA RABI</v>
      </c>
      <c r="D125" t="str">
        <v>Roberta Ita rabi</v>
      </c>
      <c r="E125">
        <v>28732</v>
      </c>
      <c r="F125">
        <f>DATEDIF(E125,TODAY(),"Y")</f>
        <v>47</v>
      </c>
      <c r="G125" t="str">
        <f>TEXT(E125,"MMMM")</f>
        <v>agosto</v>
      </c>
      <c r="H125">
        <v>27988713380</v>
      </c>
      <c r="I125" t="str">
        <v>Feminino</v>
      </c>
      <c r="N125" t="str">
        <v xml:space="preserve">Rua mina gerais </v>
      </c>
      <c r="O125" t="str">
        <v>Sn</v>
      </c>
      <c r="P125" t="str">
        <v xml:space="preserve">Ipanema </v>
      </c>
      <c r="Q125" t="str">
        <v>Viana</v>
      </c>
      <c r="R125" t="str">
        <v>ES</v>
      </c>
      <c r="T125" t="str">
        <v>Sim</v>
      </c>
      <c r="U125" t="str">
        <v>Sim</v>
      </c>
      <c r="V125" t="str">
        <v>Ativo</v>
      </c>
      <c r="X125" t="str">
        <v>Não</v>
      </c>
      <c r="Y125" t="str">
        <v>Não</v>
      </c>
      <c r="Z125" t="str">
        <v>36 a 59 anos: Adulto</v>
      </c>
      <c r="AA125" t="str">
        <v>Não</v>
      </c>
      <c r="AB125" t="str">
        <v>Sem Grupo</v>
      </c>
      <c r="AC125" xml:space="preserve">
        <f xml:space="preserve">IFERROR(MATCH(G125,{"Janeiro";"Fevereiro";"Março";"Abril";"Maio";"Junho";"Julho";"Agosto";"Setembro";"Outubro";"Novembro";"Dezembro"},0),"")
</f>
        <v>8</v>
      </c>
      <c r="AD125" t="str">
        <v/>
      </c>
    </row>
    <row r="126" xml:space="preserve">
      <c r="A126">
        <v>45618.45112528936</v>
      </c>
      <c r="B126">
        <v>125</v>
      </c>
      <c r="C126" t="str">
        <f>UPPER(D126)</f>
        <v>RONDINEY NASCIMENTO</v>
      </c>
      <c r="D126" t="str">
        <v>Rondiney Nascimento</v>
      </c>
      <c r="E126">
        <v>30736</v>
      </c>
      <c r="F126">
        <f>DATEDIF(E126,TODAY(),"Y")</f>
        <v>41</v>
      </c>
      <c r="G126" t="str">
        <f>TEXT(E126,"MMMM")</f>
        <v>fevereiro</v>
      </c>
      <c r="H126">
        <v>27996903414</v>
      </c>
      <c r="I126" t="str">
        <v>Masculino</v>
      </c>
      <c r="J126" t="str">
        <v>apt 302</v>
      </c>
      <c r="K126" t="str">
        <v>Casado(a)</v>
      </c>
      <c r="L126" t="str">
        <v xml:space="preserve">Miria Alves da Silva Nascimento </v>
      </c>
      <c r="N126" t="str">
        <v>Ametista</v>
      </c>
      <c r="O126">
        <v>25</v>
      </c>
      <c r="P126" t="str">
        <v>São Geraldo 1</v>
      </c>
      <c r="Q126" t="str">
        <v>Cariacica</v>
      </c>
      <c r="R126" t="str">
        <v>ES</v>
      </c>
      <c r="S126" t="str">
        <v xml:space="preserve">29146-677 </v>
      </c>
      <c r="T126" t="str">
        <v>Não</v>
      </c>
      <c r="U126" t="str">
        <v>Não</v>
      </c>
      <c r="V126" t="str">
        <v>Ativo</v>
      </c>
      <c r="X126" t="str">
        <v>Não</v>
      </c>
      <c r="Y126" t="str">
        <v>Não</v>
      </c>
      <c r="Z126" t="str">
        <v>36 a 59 anos: Adulto</v>
      </c>
      <c r="AA126" t="str">
        <v>Não</v>
      </c>
      <c r="AB126" t="str">
        <v>Sem Grupo</v>
      </c>
      <c r="AC126" xml:space="preserve">
        <f xml:space="preserve">IFERROR(MATCH(G126,{"Janeiro";"Fevereiro";"Março";"Abril";"Maio";"Junho";"Julho";"Agosto";"Setembro";"Outubro";"Novembro";"Dezembro"},0),"")
</f>
        <v>2</v>
      </c>
      <c r="AD126" t="str">
        <v/>
      </c>
    </row>
    <row r="127" xml:space="preserve">
      <c r="A127">
        <v>45615.5966516551</v>
      </c>
      <c r="B127">
        <v>126</v>
      </c>
      <c r="C127" t="str">
        <f>UPPER(D127)</f>
        <v xml:space="preserve">SAMUEL TOREZANI FERREIRA </v>
      </c>
      <c r="D127" t="str">
        <v xml:space="preserve">Samuel Torezani Ferreira </v>
      </c>
      <c r="E127">
        <v>41353</v>
      </c>
      <c r="F127">
        <f>DATEDIF(E127,TODAY(),"Y")</f>
        <v>12</v>
      </c>
      <c r="G127" t="str">
        <f>TEXT(E127,"MMMM")</f>
        <v>março</v>
      </c>
      <c r="H127">
        <v>27996162326</v>
      </c>
      <c r="I127" t="str">
        <v>Masculino</v>
      </c>
      <c r="K127" t="str">
        <v>Solteiro(a)</v>
      </c>
      <c r="M127" t="str">
        <v xml:space="preserve">Fábio Nunes Ferreira </v>
      </c>
      <c r="N127" t="str">
        <v xml:space="preserve">Da comunidade </v>
      </c>
      <c r="O127">
        <v>255</v>
      </c>
      <c r="P127" t="str">
        <v xml:space="preserve">Rosa da Penha </v>
      </c>
      <c r="Q127" t="str">
        <v>Cariacica</v>
      </c>
      <c r="R127" t="str">
        <v>ES</v>
      </c>
      <c r="S127">
        <v>29143430</v>
      </c>
      <c r="T127" t="str">
        <v>Sim</v>
      </c>
      <c r="U127" t="str">
        <v>Sim</v>
      </c>
      <c r="V127" t="str">
        <v>Ativo</v>
      </c>
      <c r="X127" t="str">
        <v>Não</v>
      </c>
      <c r="Y127" t="str">
        <v>Não</v>
      </c>
      <c r="Z127" t="str">
        <v>11 a 17 anos: Adolescente</v>
      </c>
      <c r="AA127" t="str">
        <v>Não</v>
      </c>
      <c r="AB127" t="str">
        <v>Sem Grupo</v>
      </c>
      <c r="AC127" xml:space="preserve">
        <f xml:space="preserve">IFERROR(MATCH(G127,{"Janeiro";"Fevereiro";"Março";"Abril";"Maio";"Junho";"Julho";"Agosto";"Setembro";"Outubro";"Novembro";"Dezembro"},0),"")
</f>
        <v>3</v>
      </c>
      <c r="AD127" t="str">
        <v/>
      </c>
    </row>
    <row r="128" xml:space="preserve">
      <c r="A128">
        <v>45612.71999078704</v>
      </c>
      <c r="B128">
        <v>127</v>
      </c>
      <c r="C128" t="str">
        <f>UPPER(D128)</f>
        <v xml:space="preserve">SCHAIANY PIMENTEL SANTA CLARA DE PAULA </v>
      </c>
      <c r="D128" t="str">
        <v xml:space="preserve">Schaiany Pimentel Santa Clara de Paula </v>
      </c>
      <c r="E128">
        <v>34152</v>
      </c>
      <c r="F128">
        <f>DATEDIF(E128,TODAY(),"Y")</f>
        <v>32</v>
      </c>
      <c r="G128" t="str">
        <f>TEXT(E128,"MMMM")</f>
        <v>julho</v>
      </c>
      <c r="H128">
        <v>27996640632</v>
      </c>
      <c r="I128" t="str">
        <v>Feminino</v>
      </c>
      <c r="K128" t="str">
        <v>Casado(a)</v>
      </c>
      <c r="L128" t="str">
        <v>Erielton De Paula Melo</v>
      </c>
      <c r="N128" t="str">
        <v xml:space="preserve">Das Papoulas </v>
      </c>
      <c r="O128">
        <v>161</v>
      </c>
      <c r="P128" t="str">
        <v xml:space="preserve">Santo André </v>
      </c>
      <c r="Q128" t="str">
        <v>Cariacica</v>
      </c>
      <c r="R128" t="str">
        <v>ES</v>
      </c>
      <c r="S128">
        <v>29144657</v>
      </c>
      <c r="T128" t="str">
        <v>Sim</v>
      </c>
      <c r="U128" t="str">
        <v>Sim</v>
      </c>
      <c r="V128" t="str">
        <v>Ativo</v>
      </c>
      <c r="X128" t="str">
        <v>Sim</v>
      </c>
      <c r="Y128" t="str">
        <v>Sim</v>
      </c>
      <c r="Z128" t="str">
        <v>18 a 35 anos: Jovem</v>
      </c>
      <c r="AA128" t="str">
        <v>Não</v>
      </c>
      <c r="AB128" t="str">
        <v>Sem Grupo</v>
      </c>
      <c r="AC128" xml:space="preserve">
        <f xml:space="preserve">IFERROR(MATCH(G128,{"Janeiro";"Fevereiro";"Março";"Abril";"Maio";"Junho";"Julho";"Agosto";"Setembro";"Outubro";"Novembro";"Dezembro"},0),"")
</f>
        <v>7</v>
      </c>
      <c r="AD128" t="str">
        <v/>
      </c>
    </row>
    <row r="129" xml:space="preserve">
      <c r="A129">
        <v>45615.594655312496</v>
      </c>
      <c r="B129">
        <v>128</v>
      </c>
      <c r="C129" t="str">
        <f>UPPER(D129)</f>
        <v xml:space="preserve">SCHEILA APARECIDA TOREZANI FERREIRA </v>
      </c>
      <c r="D129" t="str">
        <v xml:space="preserve">Scheila Aparecida Torezani Ferreira </v>
      </c>
      <c r="E129">
        <v>27685</v>
      </c>
      <c r="F129">
        <f>DATEDIF(E129,TODAY(),"Y")</f>
        <v>50</v>
      </c>
      <c r="G129" t="str">
        <f>TEXT(E129,"MMMM")</f>
        <v>outubro</v>
      </c>
      <c r="H129">
        <v>27998772135</v>
      </c>
      <c r="I129" t="str">
        <v>Feminino</v>
      </c>
      <c r="K129" t="str">
        <v>Casado(a)</v>
      </c>
      <c r="L129" t="str">
        <v xml:space="preserve">Fábio Nunes Ferreira </v>
      </c>
      <c r="N129" t="str">
        <v xml:space="preserve">Da comunidade </v>
      </c>
      <c r="O129">
        <v>255</v>
      </c>
      <c r="P129" t="str">
        <v>Rosa da penha</v>
      </c>
      <c r="Q129" t="str">
        <v>Cariacica</v>
      </c>
      <c r="R129" t="str">
        <v>ES</v>
      </c>
      <c r="S129">
        <v>29143430</v>
      </c>
      <c r="T129" t="str">
        <v>Sim</v>
      </c>
      <c r="U129" t="str">
        <v>Sim</v>
      </c>
      <c r="V129" t="str">
        <v>Ativo</v>
      </c>
      <c r="X129" t="str">
        <v>Não</v>
      </c>
      <c r="Y129" t="str">
        <v>Sim</v>
      </c>
      <c r="Z129" t="str">
        <v>36 a 59 anos: Adulto</v>
      </c>
      <c r="AA129" t="str">
        <v>Não</v>
      </c>
      <c r="AB129" t="str">
        <v>Sem Grupo</v>
      </c>
      <c r="AC129" xml:space="preserve">
        <f xml:space="preserve">IFERROR(MATCH(G129,{"Janeiro";"Fevereiro";"Março";"Abril";"Maio";"Junho";"Julho";"Agosto";"Setembro";"Outubro";"Novembro";"Dezembro"},0),"")
</f>
        <v>10</v>
      </c>
      <c r="AD129" t="str">
        <v/>
      </c>
    </row>
    <row r="130" xml:space="preserve">
      <c r="A130">
        <v>45796.4289694676</v>
      </c>
      <c r="B130">
        <v>129</v>
      </c>
      <c r="C130" t="str">
        <f>UPPER(D130)</f>
        <v xml:space="preserve">SHAUANY SOUZA GOMES CRUZ </v>
      </c>
      <c r="D130" t="str">
        <v xml:space="preserve">Shauany Souza Gomes Cruz </v>
      </c>
      <c r="E130">
        <v>37405</v>
      </c>
      <c r="F130">
        <f>DATEDIF(E130,TODAY(),"Y")</f>
        <v>23</v>
      </c>
      <c r="G130" t="str">
        <f>TEXT(E130,"MMMM")</f>
        <v>maio</v>
      </c>
      <c r="H130">
        <v>27989003788</v>
      </c>
      <c r="I130" t="str">
        <v>Feminino</v>
      </c>
      <c r="K130" t="str">
        <v>Casado(a)</v>
      </c>
      <c r="L130" t="str">
        <v xml:space="preserve">Matheus Souza Cruz </v>
      </c>
      <c r="N130" t="str">
        <v xml:space="preserve">Rua dos apóstolos </v>
      </c>
      <c r="O130">
        <v>20</v>
      </c>
      <c r="P130" t="str">
        <v xml:space="preserve">Vila Palestina </v>
      </c>
      <c r="Q130" t="str">
        <v>Cariacica</v>
      </c>
      <c r="R130" t="str">
        <v>ES</v>
      </c>
      <c r="T130" t="str">
        <v>Sim</v>
      </c>
      <c r="U130" t="str">
        <v>Não</v>
      </c>
      <c r="V130" t="str">
        <v>Desligado</v>
      </c>
      <c r="W130" t="str">
        <v>Desligados dia 03/12/030</v>
      </c>
      <c r="X130" t="str">
        <v>Não</v>
      </c>
      <c r="Y130" t="str">
        <v>Não</v>
      </c>
      <c r="Z130" t="str">
        <v>18 a 35 anos: Jovem</v>
      </c>
      <c r="AA130" t="str">
        <v>Não</v>
      </c>
      <c r="AB130" t="str">
        <v>Sem Grupo</v>
      </c>
      <c r="AC130" xml:space="preserve">
        <f xml:space="preserve">IFERROR(MATCH(G130,{"Janeiro";"Fevereiro";"Março";"Abril";"Maio";"Junho";"Julho";"Agosto";"Setembro";"Outubro";"Novembro";"Dezembro"},0),"")
</f>
        <v>5</v>
      </c>
      <c r="AD130" t="str">
        <v/>
      </c>
    </row>
    <row r="131" xml:space="preserve">
      <c r="A131">
        <v>45619.51149476852</v>
      </c>
      <c r="B131">
        <v>130</v>
      </c>
      <c r="C131" t="str">
        <f>UPPER(D131)</f>
        <v>SIDNEI NOGUEIRA DIAS</v>
      </c>
      <c r="D131" t="str">
        <v>Sidnei nogueira dias</v>
      </c>
      <c r="E131">
        <v>29996</v>
      </c>
      <c r="F131">
        <f>DATEDIF(E131,TODAY(),"Y")</f>
        <v>43</v>
      </c>
      <c r="G131" t="str">
        <f>TEXT(E131,"MMMM")</f>
        <v>fevereiro</v>
      </c>
      <c r="H131">
        <v>27997507686</v>
      </c>
      <c r="I131" t="str">
        <v>Masculino</v>
      </c>
      <c r="K131" t="str">
        <v>Casado(a)</v>
      </c>
      <c r="L131" t="str">
        <v xml:space="preserve">Bruna Will monteiro costa dias </v>
      </c>
      <c r="N131" t="str">
        <v xml:space="preserve">Abílio pontini </v>
      </c>
      <c r="O131">
        <v>145</v>
      </c>
      <c r="P131" t="str">
        <v>São Geraldo 2</v>
      </c>
      <c r="Q131" t="str">
        <v>Cariacica</v>
      </c>
      <c r="R131" t="str">
        <v>ES</v>
      </c>
      <c r="S131">
        <v>29146805</v>
      </c>
      <c r="T131" t="str">
        <v>Sim</v>
      </c>
      <c r="U131" t="str">
        <v>Sim</v>
      </c>
      <c r="V131" t="str">
        <v>Ativo</v>
      </c>
      <c r="X131" t="str">
        <v>Não</v>
      </c>
      <c r="Y131" t="str">
        <v>Não</v>
      </c>
      <c r="Z131" t="str">
        <v>36 a 59 anos: Adulto</v>
      </c>
      <c r="AA131" t="str">
        <v>Não</v>
      </c>
      <c r="AB131" t="str">
        <v>Sem Grupo</v>
      </c>
      <c r="AC131" xml:space="preserve">
        <f xml:space="preserve">IFERROR(MATCH(G131,{"Janeiro";"Fevereiro";"Março";"Abril";"Maio";"Junho";"Julho";"Agosto";"Setembro";"Outubro";"Novembro";"Dezembro"},0),"")
</f>
        <v>2</v>
      </c>
      <c r="AD131" t="str">
        <v/>
      </c>
    </row>
    <row r="132" xml:space="preserve">
      <c r="A132">
        <v>45613.50852234954</v>
      </c>
      <c r="B132">
        <v>131</v>
      </c>
      <c r="C132" t="str">
        <f>UPPER(D132)</f>
        <v xml:space="preserve">SUELEN VIEIRA DE REZENDE </v>
      </c>
      <c r="D132" t="str">
        <v xml:space="preserve">Suelen vieira de rezende </v>
      </c>
      <c r="E132">
        <v>37042</v>
      </c>
      <c r="F132">
        <f>DATEDIF(E132,TODAY(),"Y")</f>
        <v>24</v>
      </c>
      <c r="G132" t="str">
        <f>TEXT(E132,"MMMM")</f>
        <v>maio</v>
      </c>
      <c r="H132">
        <v>27988356879</v>
      </c>
      <c r="I132" t="str">
        <v>Feminino</v>
      </c>
      <c r="K132" t="str">
        <v>Casado(a)</v>
      </c>
      <c r="L132" t="str">
        <v xml:space="preserve">Daniel Santiago Neris </v>
      </c>
      <c r="N132">
        <v>12</v>
      </c>
      <c r="O132">
        <v>102</v>
      </c>
      <c r="P132" t="str">
        <v>Nova Rosa da Penha 1</v>
      </c>
      <c r="Q132" t="str">
        <v>Cariacica</v>
      </c>
      <c r="R132" t="str">
        <v>ES</v>
      </c>
      <c r="S132">
        <v>29157410</v>
      </c>
      <c r="T132" t="str">
        <v>Sim</v>
      </c>
      <c r="U132" t="str">
        <v>Sim</v>
      </c>
      <c r="V132" t="str">
        <v>Ativo</v>
      </c>
      <c r="X132" t="str">
        <v>Não</v>
      </c>
      <c r="Y132" t="str">
        <v>Não</v>
      </c>
      <c r="Z132" t="str">
        <v>18 a 35 anos: Jovem</v>
      </c>
      <c r="AA132" t="str">
        <v>Não</v>
      </c>
      <c r="AB132" t="str">
        <v>Sem Grupo</v>
      </c>
      <c r="AC132" xml:space="preserve">
        <f xml:space="preserve">IFERROR(MATCH(G132,{"Janeiro";"Fevereiro";"Março";"Abril";"Maio";"Junho";"Julho";"Agosto";"Setembro";"Outubro";"Novembro";"Dezembro"},0),"")
</f>
        <v>5</v>
      </c>
      <c r="AD132" t="str">
        <v/>
      </c>
    </row>
    <row r="133" xml:space="preserve">
      <c r="A133">
        <v>45617.6612859375</v>
      </c>
      <c r="B133">
        <v>132</v>
      </c>
      <c r="C133" t="str">
        <f>UPPER(D133)</f>
        <v>TEREZINHA FONTES</v>
      </c>
      <c r="D133" t="str">
        <v>Terezinha fontes</v>
      </c>
      <c r="E133">
        <v>19425</v>
      </c>
      <c r="F133">
        <f>DATEDIF(E133,TODAY(),"Y")</f>
        <v>72</v>
      </c>
      <c r="G133" t="str">
        <f>TEXT(E133,"MMMM")</f>
        <v>março</v>
      </c>
      <c r="H133">
        <v>27999368677</v>
      </c>
      <c r="I133" t="str">
        <v>Feminino</v>
      </c>
      <c r="K133" t="str">
        <v>Casado(a)</v>
      </c>
      <c r="L133" t="str">
        <v xml:space="preserve">Antônio Francisco do Nascimento </v>
      </c>
      <c r="N133" t="str">
        <v>Esmeralda</v>
      </c>
      <c r="O133">
        <v>159</v>
      </c>
      <c r="P133" t="str">
        <v>São Geraldo 1</v>
      </c>
      <c r="Q133" t="str">
        <v>Cariacica</v>
      </c>
      <c r="R133" t="str">
        <v>ES</v>
      </c>
      <c r="S133">
        <v>29146675</v>
      </c>
      <c r="T133" t="str">
        <v>Sim</v>
      </c>
      <c r="U133" t="str">
        <v>Sim</v>
      </c>
      <c r="V133" t="str">
        <v>Ativo</v>
      </c>
      <c r="X133" t="str">
        <v>Não</v>
      </c>
      <c r="Y133" t="str">
        <v>Não</v>
      </c>
      <c r="Z133" t="str">
        <v>60+ anos</v>
      </c>
      <c r="AA133" t="str">
        <v>Não</v>
      </c>
      <c r="AB133" t="str">
        <v>Sem Grupo</v>
      </c>
      <c r="AC133" xml:space="preserve">
        <f xml:space="preserve">IFERROR(MATCH(G133,{"Janeiro";"Fevereiro";"Março";"Abril";"Maio";"Junho";"Julho";"Agosto";"Setembro";"Outubro";"Novembro";"Dezembro"},0),"")
</f>
        <v>3</v>
      </c>
      <c r="AD133" t="str">
        <v/>
      </c>
    </row>
    <row r="134" xml:space="preserve">
      <c r="A134">
        <v>45614.60116486112</v>
      </c>
      <c r="B134">
        <v>133</v>
      </c>
      <c r="C134" t="str">
        <f>UPPER(D134)</f>
        <v xml:space="preserve">THAMYRES COELHO CARDOSO </v>
      </c>
      <c r="D134" t="str">
        <v xml:space="preserve">Thamyres Coelho Cardoso </v>
      </c>
      <c r="E134">
        <v>37035</v>
      </c>
      <c r="F134">
        <f>DATEDIF(E134,TODAY(),"Y")</f>
        <v>24</v>
      </c>
      <c r="G134" t="str">
        <f>TEXT(E134,"MMMM")</f>
        <v>maio</v>
      </c>
      <c r="H134">
        <v>27998072540</v>
      </c>
      <c r="I134" t="str">
        <v>Feminino</v>
      </c>
      <c r="K134" t="str">
        <v>Casado(a)</v>
      </c>
      <c r="L134" t="str">
        <v>Gabriel Dondoni Alves</v>
      </c>
      <c r="N134" t="str">
        <v>Guarapari</v>
      </c>
      <c r="O134">
        <v>19</v>
      </c>
      <c r="P134" t="str">
        <v xml:space="preserve">Vista dourada </v>
      </c>
      <c r="Q134" t="str">
        <v>Cariacica</v>
      </c>
      <c r="R134" t="str">
        <v>ES</v>
      </c>
      <c r="S134">
        <v>29158652</v>
      </c>
      <c r="T134" t="str">
        <v>Sim</v>
      </c>
      <c r="U134" t="str">
        <v>Não</v>
      </c>
      <c r="V134" t="str">
        <v>Desligado</v>
      </c>
      <c r="W134" t="str">
        <v>Pedido de desligamento no dia 08/12/2025 às 15:56</v>
      </c>
      <c r="X134" t="str">
        <v>Não</v>
      </c>
      <c r="Y134" t="str">
        <v>Não</v>
      </c>
      <c r="Z134" t="str">
        <v>18 a 35 anos: Jovem</v>
      </c>
      <c r="AA134" t="str">
        <v>Não</v>
      </c>
      <c r="AB134" t="str">
        <v>Sem Grupo</v>
      </c>
      <c r="AC134" xml:space="preserve">
        <f xml:space="preserve">IFERROR(MATCH(G134,{"Janeiro";"Fevereiro";"Março";"Abril";"Maio";"Junho";"Julho";"Agosto";"Setembro";"Outubro";"Novembro";"Dezembro"},0),"")
</f>
        <v>5</v>
      </c>
      <c r="AD134" t="str">
        <v/>
      </c>
    </row>
    <row r="135" xml:space="preserve">
      <c r="A135">
        <v>45641.56024465278</v>
      </c>
      <c r="B135">
        <v>134</v>
      </c>
      <c r="C135" t="str">
        <f>UPPER(D135)</f>
        <v>THAYNÁ DE SOUZA DUTRA</v>
      </c>
      <c r="D135" t="str">
        <v>Thayná de Souza Dutra</v>
      </c>
      <c r="E135">
        <v>35128</v>
      </c>
      <c r="F135">
        <f>DATEDIF(E135,TODAY(),"Y")</f>
        <v>29</v>
      </c>
      <c r="G135" t="str">
        <f>TEXT(E135,"MMMM")</f>
        <v>março</v>
      </c>
      <c r="H135">
        <v>27999073362</v>
      </c>
      <c r="I135" t="str">
        <v>Feminino</v>
      </c>
      <c r="K135" t="str">
        <v>Casado(a)</v>
      </c>
      <c r="L135" t="str">
        <v>Matheus Henrique de Souza Moreira</v>
      </c>
      <c r="N135" t="str">
        <v>Avenida Espirito Santo</v>
      </c>
      <c r="O135">
        <v>1035</v>
      </c>
      <c r="P135" t="str">
        <v>Jardim Campo Grande</v>
      </c>
      <c r="Q135" t="str">
        <v>Cariacica</v>
      </c>
      <c r="R135" t="str">
        <v>ES</v>
      </c>
      <c r="S135">
        <v>29141459</v>
      </c>
      <c r="T135" t="str">
        <v>Sim</v>
      </c>
      <c r="U135" t="str">
        <v>Sim</v>
      </c>
      <c r="V135" t="str">
        <v>Ativo</v>
      </c>
      <c r="X135" t="str">
        <v>Não</v>
      </c>
      <c r="Y135" t="str">
        <v>Não</v>
      </c>
      <c r="Z135" t="str">
        <v>18 a 35 anos: Jovem</v>
      </c>
      <c r="AA135" t="str">
        <v>Não</v>
      </c>
      <c r="AB135" t="str">
        <v>Sem Grupo</v>
      </c>
      <c r="AC135" xml:space="preserve">
        <f xml:space="preserve">IFERROR(MATCH(G135,{"Janeiro";"Fevereiro";"Março";"Abril";"Maio";"Junho";"Julho";"Agosto";"Setembro";"Outubro";"Novembro";"Dezembro"},0),"")
</f>
        <v>3</v>
      </c>
      <c r="AD135" t="str">
        <v/>
      </c>
    </row>
    <row r="136" xml:space="preserve">
      <c r="A136">
        <v>45618.88929710648</v>
      </c>
      <c r="B136">
        <v>135</v>
      </c>
      <c r="C136" t="str">
        <f>UPPER(D136)</f>
        <v xml:space="preserve">THIFFANY FERNANDES DE BRITO </v>
      </c>
      <c r="D136" t="str">
        <v xml:space="preserve">Thiffany Fernandes de Brito </v>
      </c>
      <c r="E136">
        <v>36208</v>
      </c>
      <c r="F136">
        <f>DATEDIF(E136,TODAY(),"Y")</f>
        <v>26</v>
      </c>
      <c r="G136" t="str">
        <f>TEXT(E136,"MMMM")</f>
        <v>fevereiro</v>
      </c>
      <c r="H136">
        <v>27995746717</v>
      </c>
      <c r="I136" t="str">
        <v>Feminino</v>
      </c>
      <c r="K136" t="str">
        <v>Casado(a)</v>
      </c>
      <c r="L136" t="str">
        <v>Protazio Rezende Carvalho</v>
      </c>
      <c r="N136" t="str">
        <v xml:space="preserve">Serra da Mantiqueira </v>
      </c>
      <c r="O136">
        <v>66</v>
      </c>
      <c r="P136" t="str">
        <v xml:space="preserve">Nova Bethânia </v>
      </c>
      <c r="Q136" t="str">
        <v>Viana</v>
      </c>
      <c r="R136" t="str">
        <v>ES</v>
      </c>
      <c r="S136" t="str">
        <v xml:space="preserve">29138-189 </v>
      </c>
      <c r="T136" t="str">
        <v>Sim</v>
      </c>
      <c r="U136" t="str">
        <v>Sim</v>
      </c>
      <c r="V136" t="str">
        <v>Ativo</v>
      </c>
      <c r="X136" t="str">
        <v>Não</v>
      </c>
      <c r="Y136" t="str">
        <v>Não</v>
      </c>
      <c r="Z136" t="str">
        <v>18 a 35 anos: Jovem</v>
      </c>
      <c r="AA136" t="str">
        <v>Não</v>
      </c>
      <c r="AB136" t="str">
        <v>Sem Grupo</v>
      </c>
      <c r="AC136" xml:space="preserve">
        <f xml:space="preserve">IFERROR(MATCH(G136,{"Janeiro";"Fevereiro";"Março";"Abril";"Maio";"Junho";"Julho";"Agosto";"Setembro";"Outubro";"Novembro";"Dezembro"},0),"")
</f>
        <v>2</v>
      </c>
      <c r="AD136" t="str">
        <v/>
      </c>
    </row>
    <row r="137" xml:space="preserve">
      <c r="A137">
        <v>45805.49195729167</v>
      </c>
      <c r="B137">
        <v>136</v>
      </c>
      <c r="C137" t="str">
        <f>UPPER(D137)</f>
        <v xml:space="preserve">TIAGO DIAS QUARESMA FRANÇA </v>
      </c>
      <c r="D137" t="str">
        <v xml:space="preserve">Tiago Dias Quaresma França </v>
      </c>
      <c r="E137">
        <v>37990</v>
      </c>
      <c r="F137">
        <f>DATEDIF(E137,TODAY(),"Y")</f>
        <v>21</v>
      </c>
      <c r="G137" t="str">
        <f>TEXT(E137,"MMMM")</f>
        <v>janeiro</v>
      </c>
      <c r="H137">
        <v>27997309316</v>
      </c>
      <c r="I137" t="str">
        <v>Masculino</v>
      </c>
      <c r="K137" t="str">
        <v>Casado(a)</v>
      </c>
      <c r="L137" t="str">
        <v xml:space="preserve">Luisa Cassiano Borges Quaresma </v>
      </c>
      <c r="N137" t="str">
        <v>Rua romana de jesus</v>
      </c>
      <c r="O137">
        <v>85</v>
      </c>
      <c r="P137" t="str">
        <v xml:space="preserve">Morada de santa fé </v>
      </c>
      <c r="Q137" t="str">
        <v>Cariacica</v>
      </c>
      <c r="R137" t="str">
        <v>ES</v>
      </c>
      <c r="S137">
        <v>29143725</v>
      </c>
      <c r="T137" t="str">
        <v>Sim</v>
      </c>
      <c r="U137" t="str">
        <v>Sim</v>
      </c>
      <c r="V137" t="str">
        <v>Ativo</v>
      </c>
      <c r="X137" t="str">
        <v>Não</v>
      </c>
      <c r="Y137" t="str">
        <v>Não</v>
      </c>
      <c r="Z137" t="str">
        <v>18 a 35 anos: Jovem</v>
      </c>
      <c r="AA137" t="str">
        <v>Não</v>
      </c>
      <c r="AB137" t="str">
        <v>Sem Grupo</v>
      </c>
      <c r="AC137" xml:space="preserve">
        <f xml:space="preserve">IFERROR(MATCH(G137,{"Janeiro";"Fevereiro";"Março";"Abril";"Maio";"Junho";"Julho";"Agosto";"Setembro";"Outubro";"Novembro";"Dezembro"},0),"")
</f>
        <v>1</v>
      </c>
      <c r="AD137" t="str">
        <v/>
      </c>
    </row>
    <row r="138" xml:space="preserve">
      <c r="A138">
        <v>45621.3142912037</v>
      </c>
      <c r="B138">
        <v>137</v>
      </c>
      <c r="C138" t="str">
        <f>UPPER(D138)</f>
        <v>UBIRANEL DA SILVEIRA MOTA</v>
      </c>
      <c r="D138" t="str">
        <v>Ubiranel da Silveira Mota</v>
      </c>
      <c r="E138">
        <v>29843</v>
      </c>
      <c r="F138">
        <f>DATEDIF(E138,TODAY(),"Y")</f>
        <v>44</v>
      </c>
      <c r="G138" t="str">
        <f>TEXT(E138,"MMMM")</f>
        <v>setembro</v>
      </c>
      <c r="H138">
        <v>27998351035</v>
      </c>
      <c r="I138" t="str">
        <v>Masculino</v>
      </c>
      <c r="J138" t="str">
        <v xml:space="preserve">Universal </v>
      </c>
      <c r="K138" t="str">
        <v>Casado(a)</v>
      </c>
      <c r="L138" t="str">
        <v>Neudimar de oliveira mota</v>
      </c>
      <c r="N138" t="str">
        <v xml:space="preserve">Evaristo canal </v>
      </c>
      <c r="O138">
        <v>52</v>
      </c>
      <c r="P138" t="str">
        <v>Ipanema</v>
      </c>
      <c r="Q138" t="str">
        <v>Viana</v>
      </c>
      <c r="R138" t="str">
        <v>ES</v>
      </c>
      <c r="S138">
        <v>29134513</v>
      </c>
      <c r="T138" t="str">
        <v>Sim</v>
      </c>
      <c r="U138" t="str">
        <v>Sim</v>
      </c>
      <c r="V138" t="str">
        <v>Ativo</v>
      </c>
      <c r="X138" t="str">
        <v>Não</v>
      </c>
      <c r="Y138" t="str">
        <v>Não</v>
      </c>
      <c r="Z138" t="str">
        <v>36 a 59 anos: Adulto</v>
      </c>
      <c r="AA138" t="str">
        <v>Não</v>
      </c>
      <c r="AB138" t="str">
        <v>Sem Grupo</v>
      </c>
      <c r="AC138" xml:space="preserve">
        <f xml:space="preserve">IFERROR(MATCH(G138,{"Janeiro";"Fevereiro";"Março";"Abril";"Maio";"Junho";"Julho";"Agosto";"Setembro";"Outubro";"Novembro";"Dezembro"},0),"")
</f>
        <v>9</v>
      </c>
      <c r="AD138" t="str">
        <v/>
      </c>
    </row>
    <row r="139" xml:space="preserve">
      <c r="A139">
        <v>45615.605603344906</v>
      </c>
      <c r="B139">
        <v>138</v>
      </c>
      <c r="C139" t="str">
        <f>UPPER(D139)</f>
        <v xml:space="preserve">VASTHI FERREIRA GOMES FRAGA </v>
      </c>
      <c r="D139" t="str">
        <v xml:space="preserve">Vasthi ferreira Gomes fraga </v>
      </c>
      <c r="E139">
        <v>26840</v>
      </c>
      <c r="F139">
        <f>DATEDIF(E139,TODAY(),"Y")</f>
        <v>52</v>
      </c>
      <c r="G139" t="str">
        <f>TEXT(E139,"MMMM")</f>
        <v>junho</v>
      </c>
      <c r="H139">
        <v>27997723358</v>
      </c>
      <c r="I139" t="str">
        <v>Feminino</v>
      </c>
      <c r="K139" t="str">
        <v>Casado(a)</v>
      </c>
      <c r="L139" t="str">
        <v xml:space="preserve">Nilson fraga Celestino </v>
      </c>
      <c r="N139" t="str">
        <v xml:space="preserve">Atílio Esperandio </v>
      </c>
      <c r="O139">
        <v>249</v>
      </c>
      <c r="P139" t="str">
        <v xml:space="preserve">Joana dark </v>
      </c>
      <c r="Q139" t="str">
        <v>Vitória</v>
      </c>
      <c r="R139" t="str">
        <v>ES</v>
      </c>
      <c r="S139">
        <v>29048040</v>
      </c>
      <c r="T139" t="str">
        <v>Sim</v>
      </c>
      <c r="U139" t="str">
        <v>Não</v>
      </c>
      <c r="V139" t="str">
        <v>Desligado</v>
      </c>
      <c r="W139" t="str">
        <v>Desligados dia 03/12/031</v>
      </c>
      <c r="X139" t="str">
        <v>Não</v>
      </c>
      <c r="Y139" t="str">
        <v>Não</v>
      </c>
      <c r="Z139" t="str">
        <v>36 a 59 anos: Adulto</v>
      </c>
      <c r="AA139" t="str">
        <v>Não</v>
      </c>
      <c r="AB139" t="str">
        <v>Sem Grupo</v>
      </c>
      <c r="AC139" xml:space="preserve">
        <f xml:space="preserve">IFERROR(MATCH(G139,{"Janeiro";"Fevereiro";"Março";"Abril";"Maio";"Junho";"Julho";"Agosto";"Setembro";"Outubro";"Novembro";"Dezembro"},0),"")
</f>
        <v>6</v>
      </c>
      <c r="AD139" t="str">
        <v/>
      </c>
    </row>
    <row r="140" xml:space="preserve">
      <c r="A140">
        <v>45618.260420810184</v>
      </c>
      <c r="B140">
        <v>139</v>
      </c>
      <c r="C140" t="str">
        <f>UPPER(D140)</f>
        <v xml:space="preserve">VERÔNICA DA SILVA ALVES CLARO </v>
      </c>
      <c r="D140" t="str">
        <v xml:space="preserve">Verônica da Silva Alves Claro </v>
      </c>
      <c r="E140">
        <v>33400</v>
      </c>
      <c r="F140">
        <f>DATEDIF(E140,TODAY(),"Y")</f>
        <v>34</v>
      </c>
      <c r="G140" t="str">
        <f>TEXT(E140,"MMMM")</f>
        <v>junho</v>
      </c>
      <c r="H140">
        <v>27988628318</v>
      </c>
      <c r="I140" t="str">
        <v>Feminino</v>
      </c>
      <c r="K140" t="str">
        <v>Casado(a)</v>
      </c>
      <c r="L140" t="str">
        <v xml:space="preserve">Alberto Claro Júnior </v>
      </c>
      <c r="N140" t="str">
        <v xml:space="preserve">Ressurreição </v>
      </c>
      <c r="O140">
        <v>209</v>
      </c>
      <c r="P140" t="str">
        <v xml:space="preserve">Vila Palestina </v>
      </c>
      <c r="Q140" t="str">
        <v>Cariacica</v>
      </c>
      <c r="R140" t="str">
        <v>ES</v>
      </c>
      <c r="S140">
        <v>29145675</v>
      </c>
      <c r="T140" t="str">
        <v>Sim</v>
      </c>
      <c r="U140" t="str">
        <v>Sim</v>
      </c>
      <c r="V140" t="str">
        <v>Ativo</v>
      </c>
      <c r="X140" t="str">
        <v>Não</v>
      </c>
      <c r="Y140" t="str">
        <v>Não</v>
      </c>
      <c r="Z140" t="str">
        <v>18 a 35 anos: Jovem</v>
      </c>
      <c r="AA140" t="str">
        <v>Não</v>
      </c>
      <c r="AB140" t="str">
        <v>Sem Grupo</v>
      </c>
      <c r="AC140" xml:space="preserve">
        <f xml:space="preserve">IFERROR(MATCH(G140,{"Janeiro";"Fevereiro";"Março";"Abril";"Maio";"Junho";"Julho";"Agosto";"Setembro";"Outubro";"Novembro";"Dezembro"},0),"")
</f>
        <v>6</v>
      </c>
      <c r="AD140" t="str">
        <v/>
      </c>
    </row>
    <row r="141" xml:space="preserve">
      <c r="A141">
        <v>45613.50536019676</v>
      </c>
      <c r="B141">
        <v>140</v>
      </c>
      <c r="C141" t="str">
        <f>UPPER(D141)</f>
        <v>VERUSKA PINTO MOUZINHO ALMEIDA</v>
      </c>
      <c r="D141" t="str">
        <v>Veruska Pinto Mouzinho Almeida</v>
      </c>
      <c r="E141">
        <v>34595</v>
      </c>
      <c r="F141">
        <f>DATEDIF(E141,TODAY(),"Y")</f>
        <v>31</v>
      </c>
      <c r="G141" t="str">
        <f>TEXT(E141,"MMMM")</f>
        <v>setembro</v>
      </c>
      <c r="H141">
        <v>27997226172</v>
      </c>
      <c r="I141" t="str">
        <v>Feminino</v>
      </c>
      <c r="K141" t="str">
        <v>Casado(a)</v>
      </c>
      <c r="L141" t="str">
        <v xml:space="preserve">Ayrton Costa de Almeida </v>
      </c>
      <c r="N141" t="str">
        <v xml:space="preserve">Otávio Cardoso de Alcântara </v>
      </c>
      <c r="O141">
        <v>40</v>
      </c>
      <c r="P141" t="str">
        <v>Santa Fe</v>
      </c>
      <c r="Q141" t="str">
        <v>Cariacica</v>
      </c>
      <c r="R141" t="str">
        <v>ES</v>
      </c>
      <c r="S141">
        <v>29143650</v>
      </c>
      <c r="T141" t="str">
        <v>Sim</v>
      </c>
      <c r="U141" t="str">
        <v>Sim</v>
      </c>
      <c r="V141" t="str">
        <v>Ativo</v>
      </c>
      <c r="X141" t="str">
        <v>Sim</v>
      </c>
      <c r="Y141" t="str">
        <v>Sim</v>
      </c>
      <c r="Z141" t="str">
        <v>18 a 35 anos: Jovem</v>
      </c>
      <c r="AA141" t="str">
        <v>Não</v>
      </c>
      <c r="AB141" t="str">
        <v>Sem Grupo</v>
      </c>
      <c r="AC141" xml:space="preserve">
        <f xml:space="preserve">IFERROR(MATCH(G141,{"Janeiro";"Fevereiro";"Março";"Abril";"Maio";"Junho";"Julho";"Agosto";"Setembro";"Outubro";"Novembro";"Dezembro"},0),"")
</f>
        <v>9</v>
      </c>
      <c r="AD141" t="str">
        <v/>
      </c>
    </row>
    <row r="142" xml:space="preserve">
      <c r="A142">
        <v>45614.73579</v>
      </c>
      <c r="B142">
        <v>141</v>
      </c>
      <c r="C142" t="str">
        <f>UPPER(D142)</f>
        <v>VITOR PINTO DA SILVA</v>
      </c>
      <c r="D142" t="str">
        <v>VITOR PINTO DA SILVA</v>
      </c>
      <c r="E142">
        <v>39227</v>
      </c>
      <c r="F142">
        <f>DATEDIF(E142,TODAY(),"Y")</f>
        <v>18</v>
      </c>
      <c r="G142" t="str">
        <f>TEXT(E142,"MMMM")</f>
        <v>maio</v>
      </c>
      <c r="H142">
        <v>27995769355</v>
      </c>
      <c r="I142" t="str">
        <v>Masculino</v>
      </c>
      <c r="K142" t="str">
        <v>Solteiro(a)</v>
      </c>
      <c r="M142" t="str">
        <v>EDERSON FLAVIO DA SILVA E LETÍCIA CALLOT PINTO DA SILVA</v>
      </c>
      <c r="N142" t="str">
        <v xml:space="preserve">Itabira </v>
      </c>
      <c r="O142">
        <v>59</v>
      </c>
      <c r="P142" t="str">
        <v>São Geraldo 2</v>
      </c>
      <c r="Q142" t="str">
        <v>Cariacica</v>
      </c>
      <c r="R142" t="str">
        <v>ES</v>
      </c>
      <c r="S142">
        <v>29146840</v>
      </c>
      <c r="T142" t="str">
        <v>Sim</v>
      </c>
      <c r="U142" t="str">
        <v>Sim</v>
      </c>
      <c r="V142" t="str">
        <v>Ativo</v>
      </c>
      <c r="X142" t="str">
        <v>Não</v>
      </c>
      <c r="Y142" t="str">
        <v>Não</v>
      </c>
      <c r="Z142" t="str">
        <v>11 a 17 anos: Adolescente</v>
      </c>
      <c r="AA142" t="str">
        <v>Não</v>
      </c>
      <c r="AB142" t="str">
        <v>Sem Grupo</v>
      </c>
      <c r="AC142" xml:space="preserve">
        <f xml:space="preserve">IFERROR(MATCH(G142,{"Janeiro";"Fevereiro";"Março";"Abril";"Maio";"Junho";"Julho";"Agosto";"Setembro";"Outubro";"Novembro";"Dezembro"},0),"")
</f>
        <v>5</v>
      </c>
      <c r="AD142" t="str">
        <v/>
      </c>
    </row>
    <row r="143" xml:space="preserve">
      <c r="A143">
        <v>45614.74314673611</v>
      </c>
      <c r="B143">
        <v>142</v>
      </c>
      <c r="C143" t="str">
        <f>UPPER(D143)</f>
        <v>VITÓRIA PINTO DA SILVA</v>
      </c>
      <c r="D143" t="str">
        <v>VITÓRIA PINTO DA SILVA</v>
      </c>
      <c r="E143">
        <v>41061</v>
      </c>
      <c r="F143">
        <f>DATEDIF(E143,TODAY(),"Y")</f>
        <v>13</v>
      </c>
      <c r="G143" t="str">
        <f>TEXT(E143,"MMMM")</f>
        <v>junho</v>
      </c>
      <c r="H143">
        <v>27995827788</v>
      </c>
      <c r="I143" t="str">
        <v>Feminino</v>
      </c>
      <c r="K143" t="str">
        <v>Solteiro(a)</v>
      </c>
      <c r="M143" t="str">
        <v>EDERSON FLÁVIO DA SILVA E LETÍCIA CALLOT DA SILVA</v>
      </c>
      <c r="N143" t="str">
        <v xml:space="preserve">Itabira </v>
      </c>
      <c r="O143">
        <v>59</v>
      </c>
      <c r="P143" t="str">
        <v>São Geraldo 2</v>
      </c>
      <c r="Q143" t="str">
        <v>Cariacica</v>
      </c>
      <c r="R143" t="str">
        <v>ES</v>
      </c>
      <c r="S143">
        <v>29146840</v>
      </c>
      <c r="T143" t="str">
        <v>Sim</v>
      </c>
      <c r="U143" t="str">
        <v>Sim</v>
      </c>
      <c r="V143" t="str">
        <v>Ativo</v>
      </c>
      <c r="X143" t="str">
        <v>Não</v>
      </c>
      <c r="Y143" t="str">
        <v>Não</v>
      </c>
      <c r="Z143" t="str">
        <v>11 a 17 anos: Adolescente</v>
      </c>
      <c r="AA143" t="str">
        <v>Não</v>
      </c>
      <c r="AB143" t="str">
        <v>Sem Grupo</v>
      </c>
      <c r="AC143" xml:space="preserve">
        <f xml:space="preserve">IFERROR(MATCH(G143,{"Janeiro";"Fevereiro";"Março";"Abril";"Maio";"Junho";"Julho";"Agosto";"Setembro";"Outubro";"Novembro";"Dezembro"},0),"")
</f>
        <v>6</v>
      </c>
      <c r="AD143" t="str">
        <v/>
      </c>
    </row>
    <row r="144" xml:space="preserve">
      <c r="A144">
        <v>45617.34548875</v>
      </c>
      <c r="B144">
        <v>143</v>
      </c>
      <c r="C144" t="str">
        <f>UPPER(D144)</f>
        <v xml:space="preserve">WENDEL ARAÚJO FERNANDES </v>
      </c>
      <c r="D144" t="str">
        <v xml:space="preserve">Wendel Araújo Fernandes </v>
      </c>
      <c r="E144">
        <v>31233</v>
      </c>
      <c r="F144">
        <f>DATEDIF(E144,TODAY(),"Y")</f>
        <v>40</v>
      </c>
      <c r="G144" t="str">
        <f>TEXT(E144,"MMMM")</f>
        <v>julho</v>
      </c>
      <c r="H144">
        <v>27999206322</v>
      </c>
      <c r="I144" t="str">
        <v>Masculino</v>
      </c>
      <c r="K144" t="str">
        <v>Solteiro(a)</v>
      </c>
      <c r="N144" t="str">
        <v xml:space="preserve">Itabira </v>
      </c>
      <c r="O144">
        <v>38</v>
      </c>
      <c r="P144" t="str">
        <v>São Geraldo 2</v>
      </c>
      <c r="Q144" t="str">
        <v>Cariacica</v>
      </c>
      <c r="R144" t="str">
        <v>ES</v>
      </c>
      <c r="S144">
        <v>29146840</v>
      </c>
      <c r="T144" t="str">
        <v>Sim</v>
      </c>
      <c r="U144" t="str">
        <v>Sim</v>
      </c>
      <c r="V144" t="str">
        <v>Ativo</v>
      </c>
      <c r="X144" t="str">
        <v>Não</v>
      </c>
      <c r="Y144" t="str">
        <v>Não</v>
      </c>
      <c r="Z144" t="str">
        <v>36 a 59 anos: Adulto</v>
      </c>
      <c r="AA144" t="str">
        <v>Não</v>
      </c>
      <c r="AB144" t="str">
        <v>Sem Grupo</v>
      </c>
      <c r="AC144" xml:space="preserve">
        <f xml:space="preserve">IFERROR(MATCH(G144,{"Janeiro";"Fevereiro";"Março";"Abril";"Maio";"Junho";"Julho";"Agosto";"Setembro";"Outubro";"Novembro";"Dezembro"},0),"")
</f>
        <v>7</v>
      </c>
      <c r="AD144" t="str">
        <v/>
      </c>
    </row>
    <row r="145" xml:space="preserve">
      <c r="A145">
        <v>45614.52827819444</v>
      </c>
      <c r="B145">
        <v>144</v>
      </c>
      <c r="C145" t="str">
        <f>UPPER(D145)</f>
        <v xml:space="preserve">WILLIAN DE OLIVEIRA SOUZA </v>
      </c>
      <c r="D145" t="str">
        <v xml:space="preserve">Willian de Oliveira Souza </v>
      </c>
      <c r="E145">
        <v>32209</v>
      </c>
      <c r="F145">
        <f>DATEDIF(E145,TODAY(),"Y")</f>
        <v>37</v>
      </c>
      <c r="G145" t="str">
        <f>TEXT(E145,"MMMM")</f>
        <v>março</v>
      </c>
      <c r="H145">
        <v>27997877484</v>
      </c>
      <c r="I145" t="str">
        <v>Masculino</v>
      </c>
      <c r="K145" t="str">
        <v>Casado(a)</v>
      </c>
      <c r="L145" t="str">
        <v xml:space="preserve">Lilian de Souza Vieira </v>
      </c>
      <c r="N145">
        <v>16</v>
      </c>
      <c r="O145">
        <v>141</v>
      </c>
      <c r="P145" t="str">
        <v>Nova Rosa da Penha 1</v>
      </c>
      <c r="Q145" t="str">
        <v>Cariacica</v>
      </c>
      <c r="R145" t="str">
        <v>ES</v>
      </c>
      <c r="S145">
        <v>29157414</v>
      </c>
      <c r="T145" t="str">
        <v>Sim</v>
      </c>
      <c r="U145" t="str">
        <v>Não</v>
      </c>
      <c r="V145" t="str">
        <v>Desligado</v>
      </c>
      <c r="W145" t="str">
        <v xml:space="preserve">Se reuniram com o Pastor no dia 02-12-2025 comunicando o desligamento </v>
      </c>
      <c r="X145" t="str">
        <v>Não</v>
      </c>
      <c r="Y145" t="str">
        <v>Não</v>
      </c>
      <c r="Z145" t="str">
        <v>36 a 59 anos: Adulto</v>
      </c>
      <c r="AA145" t="str">
        <v>Não</v>
      </c>
      <c r="AB145" t="str">
        <v>Sem Grupo</v>
      </c>
      <c r="AC145" xml:space="preserve">
        <f xml:space="preserve">IFERROR(MATCH(G145,{"Janeiro";"Fevereiro";"Março";"Abril";"Maio";"Junho";"Julho";"Agosto";"Setembro";"Outubro";"Novembro";"Dezembro"},0),"")
</f>
        <v>3</v>
      </c>
      <c r="AD145" t="str">
        <v/>
      </c>
    </row>
    <row r="146" xml:space="preserve">
      <c r="A146">
        <v>45964.78141217593</v>
      </c>
      <c r="B146">
        <v>145</v>
      </c>
      <c r="C146" t="str">
        <f>UPPER(D146)</f>
        <v xml:space="preserve">LUANA FERREIRA SPERANDIO </v>
      </c>
      <c r="D146" t="str">
        <v xml:space="preserve">Luana Ferreira Sperandio </v>
      </c>
      <c r="E146">
        <v>45620</v>
      </c>
      <c r="F146">
        <f>DATEDIF(E146,TODAY(),"Y")</f>
        <v>1</v>
      </c>
      <c r="G146" t="str">
        <f>TEXT(E146,"MMMM")</f>
        <v>novembro</v>
      </c>
      <c r="H146">
        <v>27997969899</v>
      </c>
      <c r="I146" t="str">
        <v>Feminino</v>
      </c>
      <c r="K146" t="str">
        <v>Solteiro(a)</v>
      </c>
      <c r="M146" t="str">
        <v>Filha</v>
      </c>
      <c r="N146" t="str">
        <v xml:space="preserve">Otávio Cardoso de Alcântara </v>
      </c>
      <c r="O146">
        <v>67</v>
      </c>
      <c r="P146" t="str">
        <v xml:space="preserve">Morada de santa fé </v>
      </c>
      <c r="Q146" t="str">
        <v>Cariacica</v>
      </c>
      <c r="R146" t="str">
        <v>ES</v>
      </c>
      <c r="S146">
        <v>29143560</v>
      </c>
      <c r="T146" t="str">
        <v>Não</v>
      </c>
      <c r="U146" t="str">
        <v>Não</v>
      </c>
      <c r="V146" t="str">
        <v>Ativo</v>
      </c>
      <c r="X146" t="str">
        <v>Não</v>
      </c>
      <c r="Y146" t="str">
        <v>Não</v>
      </c>
      <c r="Z146" t="str">
        <v>0 a 6 anos: Infância</v>
      </c>
      <c r="AA146" t="str">
        <v>Não</v>
      </c>
      <c r="AB146" t="str">
        <v>Sem Grupo</v>
      </c>
      <c r="AC146" xml:space="preserve">
        <f xml:space="preserve">IFERROR(MATCH(G146,{"Janeiro";"Fevereiro";"Março";"Abril";"Maio";"Junho";"Julho";"Agosto";"Setembro";"Outubro";"Novembro";"Dezembro"},0),"")
</f>
        <v>11</v>
      </c>
      <c r="AD146" t="str">
        <v/>
      </c>
    </row>
    <row r="147" xml:space="preserve">
      <c r="A147">
        <v>45964.78244967593</v>
      </c>
      <c r="B147">
        <v>146</v>
      </c>
      <c r="C147" t="str">
        <f>UPPER(D147)</f>
        <v xml:space="preserve">LUCAS FERREIRA SPERANDIO </v>
      </c>
      <c r="D147" t="str">
        <v xml:space="preserve">Lucas Ferreira Sperandio </v>
      </c>
      <c r="E147">
        <v>44257</v>
      </c>
      <c r="F147">
        <f>DATEDIF(E147,TODAY(),"Y")</f>
        <v>4</v>
      </c>
      <c r="G147" t="str">
        <f>TEXT(E147,"MMMM")</f>
        <v>março</v>
      </c>
      <c r="H147">
        <v>27997969899</v>
      </c>
      <c r="I147" t="str">
        <v>Masculino</v>
      </c>
      <c r="K147" t="str">
        <v>Solteiro(a)</v>
      </c>
      <c r="M147" t="str">
        <v>Filho</v>
      </c>
      <c r="N147" t="str">
        <v xml:space="preserve">Otávio Cardoso de Alcântara </v>
      </c>
      <c r="O147">
        <v>67</v>
      </c>
      <c r="P147" t="str">
        <v xml:space="preserve">Morada de santa fé </v>
      </c>
      <c r="Q147" t="str">
        <v>Cariacica</v>
      </c>
      <c r="R147" t="str">
        <v>ES</v>
      </c>
      <c r="S147">
        <v>29143560</v>
      </c>
      <c r="T147" t="str">
        <v>Não</v>
      </c>
      <c r="U147" t="str">
        <v>Não</v>
      </c>
      <c r="V147" t="str">
        <v>Ativo</v>
      </c>
      <c r="X147" t="str">
        <v>Não</v>
      </c>
      <c r="Y147" t="str">
        <v>Não</v>
      </c>
      <c r="Z147" t="str">
        <v>0 a 6 anos: Infância</v>
      </c>
      <c r="AA147" t="str">
        <v>Não</v>
      </c>
      <c r="AB147" t="str">
        <v>Sem Grupo</v>
      </c>
      <c r="AC147" xml:space="preserve">
        <f xml:space="preserve">IFERROR(MATCH(G147,{"Janeiro";"Fevereiro";"Março";"Abril";"Maio";"Junho";"Julho";"Agosto";"Setembro";"Outubro";"Novembro";"Dezembro"},0),"")
</f>
        <v>3</v>
      </c>
      <c r="AD147" t="str">
        <v/>
      </c>
    </row>
    <row r="148" xml:space="preserve">
      <c r="A148">
        <v>45964.837219548615</v>
      </c>
      <c r="B148">
        <v>147</v>
      </c>
      <c r="C148" t="str">
        <f>UPPER(D148)</f>
        <v xml:space="preserve">LIZ FERREIRA PAULINO </v>
      </c>
      <c r="D148" t="str">
        <v xml:space="preserve">Liz Ferreira Paulino </v>
      </c>
      <c r="E148">
        <v>44868</v>
      </c>
      <c r="F148">
        <f>DATEDIF(E148,TODAY(),"Y")</f>
        <v>3</v>
      </c>
      <c r="G148" t="str">
        <f>TEXT(E148,"MMMM")</f>
        <v>novembro</v>
      </c>
      <c r="H148">
        <v>27999197541</v>
      </c>
      <c r="I148" t="str">
        <v>Feminino</v>
      </c>
      <c r="K148" t="str">
        <v>Solteiro(a)</v>
      </c>
      <c r="M148" t="str">
        <v>Filha</v>
      </c>
      <c r="N148" t="str">
        <v xml:space="preserve">Porto seguro </v>
      </c>
      <c r="O148">
        <v>237</v>
      </c>
      <c r="P148" t="str">
        <v xml:space="preserve">Tiradentes </v>
      </c>
      <c r="Q148" t="str">
        <v>Cariacica</v>
      </c>
      <c r="R148" t="str">
        <v>ES</v>
      </c>
      <c r="S148" t="str">
        <v xml:space="preserve">29143-508 </v>
      </c>
      <c r="T148" t="str">
        <v>Não</v>
      </c>
      <c r="U148" t="str">
        <v>Não</v>
      </c>
      <c r="V148" t="str">
        <v>Ativo</v>
      </c>
      <c r="X148" t="str">
        <v>Não</v>
      </c>
      <c r="Y148" t="str">
        <v>Não</v>
      </c>
      <c r="Z148" t="str">
        <v>0 a 6 anos: Infância</v>
      </c>
      <c r="AA148" t="str">
        <v>Não</v>
      </c>
      <c r="AB148" t="str">
        <v>Sem Grupo</v>
      </c>
      <c r="AC148" xml:space="preserve">
        <f xml:space="preserve">IFERROR(MATCH(G148,{"Janeiro";"Fevereiro";"Março";"Abril";"Maio";"Junho";"Julho";"Agosto";"Setembro";"Outubro";"Novembro";"Dezembro"},0),"")
</f>
        <v>11</v>
      </c>
      <c r="AD148" t="str">
        <v/>
      </c>
    </row>
    <row r="149" xml:space="preserve">
      <c r="A149">
        <v>45965.349404583336</v>
      </c>
      <c r="B149">
        <v>148</v>
      </c>
      <c r="C149" t="str">
        <f>UPPER(D149)</f>
        <v xml:space="preserve">SOFIA DE OLIVEIRA REIS </v>
      </c>
      <c r="D149" t="str">
        <v xml:space="preserve">Sofia de Oliveira Reis </v>
      </c>
      <c r="E149">
        <v>45615</v>
      </c>
      <c r="F149">
        <f>DATEDIF(E149,TODAY(),"Y")</f>
        <v>1</v>
      </c>
      <c r="G149" t="str">
        <f>TEXT(E149,"MMMM")</f>
        <v>novembro</v>
      </c>
      <c r="H149" t="str">
        <v>(27) 99740-4499</v>
      </c>
      <c r="I149" t="str">
        <v>Feminino</v>
      </c>
      <c r="K149" t="str">
        <v>Solteiro(a)</v>
      </c>
      <c r="M149" t="str">
        <v>Filha</v>
      </c>
      <c r="N149" t="str">
        <v xml:space="preserve">Rua porto seguro </v>
      </c>
      <c r="O149">
        <v>216</v>
      </c>
      <c r="P149" t="str">
        <v xml:space="preserve">Tiradentes </v>
      </c>
      <c r="Q149" t="str">
        <v>Cariacica</v>
      </c>
      <c r="R149" t="str">
        <v>ES</v>
      </c>
      <c r="S149">
        <v>29143508</v>
      </c>
      <c r="T149" t="str">
        <v>Não</v>
      </c>
      <c r="U149" t="str">
        <v>Não</v>
      </c>
      <c r="V149" t="str">
        <v>Ativo</v>
      </c>
      <c r="X149" t="str">
        <v>Não</v>
      </c>
      <c r="Y149" t="str">
        <v>Não</v>
      </c>
      <c r="Z149" t="str">
        <v>0 a 6 anos: Infância</v>
      </c>
      <c r="AA149" t="str">
        <v>Não</v>
      </c>
      <c r="AB149" t="str">
        <v>Sem Grupo</v>
      </c>
      <c r="AC149" xml:space="preserve">
        <f xml:space="preserve">IFERROR(MATCH(G149,{"Janeiro";"Fevereiro";"Março";"Abril";"Maio";"Junho";"Julho";"Agosto";"Setembro";"Outubro";"Novembro";"Dezembro"},0),"")
</f>
        <v>11</v>
      </c>
      <c r="AD149" t="str">
        <v/>
      </c>
    </row>
    <row r="150" xml:space="preserve">
      <c r="A150">
        <v>45965.40136387732</v>
      </c>
      <c r="B150">
        <v>149</v>
      </c>
      <c r="C150" t="str">
        <f>UPPER(D150)</f>
        <v xml:space="preserve">JOHN MOUSINHO ANDRADE </v>
      </c>
      <c r="D150" t="str">
        <v xml:space="preserve">John Mousinho Andrade </v>
      </c>
      <c r="E150">
        <v>45615</v>
      </c>
      <c r="F150">
        <f>DATEDIF(E150,TODAY(),"Y")</f>
        <v>1</v>
      </c>
      <c r="G150" t="str">
        <f>TEXT(E150,"MMMM")</f>
        <v>novembro</v>
      </c>
      <c r="H150">
        <v>27996422970</v>
      </c>
      <c r="I150" t="str">
        <v>Masculino</v>
      </c>
      <c r="K150" t="str">
        <v>Solteiro(a)</v>
      </c>
      <c r="M150" t="str">
        <v xml:space="preserve">Pais: Jhonatan de Souza Andrade e Grezieli Rocha Mousinho Andrade </v>
      </c>
      <c r="N150" t="str">
        <v xml:space="preserve">Rua crisólito </v>
      </c>
      <c r="O150">
        <v>18</v>
      </c>
      <c r="P150" t="str">
        <v xml:space="preserve">São Geraldo </v>
      </c>
      <c r="Q150" t="str">
        <v>Cariacica</v>
      </c>
      <c r="R150" t="str">
        <v>ES</v>
      </c>
      <c r="S150">
        <v>29146605</v>
      </c>
      <c r="T150" t="str">
        <v>Não</v>
      </c>
      <c r="U150" t="str">
        <v>Não</v>
      </c>
      <c r="V150" t="str">
        <v>Ativo</v>
      </c>
      <c r="X150" t="str">
        <v>Não</v>
      </c>
      <c r="Y150" t="str">
        <v>Não</v>
      </c>
      <c r="Z150" t="str">
        <v>0 a 6 anos: Infância</v>
      </c>
      <c r="AA150" t="str">
        <v>Não</v>
      </c>
      <c r="AB150" t="str">
        <v>Sem Grupo</v>
      </c>
      <c r="AC150" xml:space="preserve">
        <f xml:space="preserve">IFERROR(MATCH(G150,{"Janeiro";"Fevereiro";"Março";"Abril";"Maio";"Junho";"Julho";"Agosto";"Setembro";"Outubro";"Novembro";"Dezembro"},0),"")
</f>
        <v>11</v>
      </c>
      <c r="AD150" t="str">
        <v/>
      </c>
    </row>
    <row r="151" xml:space="preserve">
      <c r="A151">
        <v>45965.51255770834</v>
      </c>
      <c r="B151">
        <v>150</v>
      </c>
      <c r="C151" t="str">
        <f>UPPER(D151)</f>
        <v xml:space="preserve">LOHANNA OLIVEIRA SANTOS </v>
      </c>
      <c r="D151" t="str">
        <v xml:space="preserve">Lohanna Oliveira Santos </v>
      </c>
      <c r="E151">
        <v>34701</v>
      </c>
      <c r="F151">
        <f>DATEDIF(E151,TODAY(),"Y")</f>
        <v>30</v>
      </c>
      <c r="G151" t="str">
        <f>TEXT(E151,"MMMM")</f>
        <v>janeiro</v>
      </c>
      <c r="H151">
        <v>27998728986</v>
      </c>
      <c r="I151" t="str">
        <v>Feminino</v>
      </c>
      <c r="K151" t="str">
        <v>Casado(a)</v>
      </c>
      <c r="L151" t="str">
        <v xml:space="preserve">Patrício Santos Evangelista </v>
      </c>
      <c r="M151" t="str">
        <v>Esposo</v>
      </c>
      <c r="N151" t="str">
        <v xml:space="preserve">Sergipe </v>
      </c>
      <c r="O151">
        <v>1</v>
      </c>
      <c r="P151" t="str">
        <v xml:space="preserve">Campina Grande </v>
      </c>
      <c r="Q151" t="str">
        <v>Cariacica</v>
      </c>
      <c r="R151" t="str">
        <v>ES</v>
      </c>
      <c r="S151">
        <v>29144416</v>
      </c>
      <c r="T151" t="str">
        <v>Sim</v>
      </c>
      <c r="U151" t="str">
        <v>Sim</v>
      </c>
      <c r="V151" t="str">
        <v>Ativo</v>
      </c>
      <c r="X151" t="str">
        <v>Não</v>
      </c>
      <c r="Y151" t="str">
        <v>Não</v>
      </c>
      <c r="Z151" t="str">
        <v>18 a 35 anos: Jovem</v>
      </c>
      <c r="AA151" t="str">
        <v>Não</v>
      </c>
      <c r="AB151" t="str">
        <v>Sem Grupo</v>
      </c>
      <c r="AC151" xml:space="preserve">
        <f xml:space="preserve">IFERROR(MATCH(G151,{"Janeiro";"Fevereiro";"Março";"Abril";"Maio";"Junho";"Julho";"Agosto";"Setembro";"Outubro";"Novembro";"Dezembro"},0),"")
</f>
        <v>1</v>
      </c>
      <c r="AD151" t="str">
        <v/>
      </c>
    </row>
    <row r="152" xml:space="preserve">
      <c r="A152">
        <v>45981.77775703704</v>
      </c>
      <c r="B152">
        <v>151</v>
      </c>
      <c r="C152" t="str">
        <f>UPPER(D152)</f>
        <v xml:space="preserve">PATRICIO SANTOS EVANGELISTA </v>
      </c>
      <c r="D152" t="str">
        <v xml:space="preserve">Patricio santos evangelista </v>
      </c>
      <c r="E152">
        <v>32344</v>
      </c>
      <c r="F152">
        <f>DATEDIF(E152,TODAY(),"Y")</f>
        <v>37</v>
      </c>
      <c r="G152" t="str">
        <f>TEXT(E152,"MMMM")</f>
        <v>julho</v>
      </c>
      <c r="H152">
        <v>27992478715</v>
      </c>
      <c r="I152" t="str">
        <v>Masculino</v>
      </c>
      <c r="K152" t="str">
        <v>Casado(a)</v>
      </c>
      <c r="L152" t="str">
        <v xml:space="preserve">Lohanna oliveira santos </v>
      </c>
      <c r="N152" t="str">
        <v xml:space="preserve">Rua Sergipe </v>
      </c>
      <c r="O152">
        <v>1</v>
      </c>
      <c r="P152" t="str">
        <v xml:space="preserve">Campina grande </v>
      </c>
      <c r="Q152" t="str">
        <v>Cariacica</v>
      </c>
      <c r="R152" t="str">
        <v>ES</v>
      </c>
      <c r="S152">
        <v>29144418</v>
      </c>
      <c r="T152" t="str">
        <v>Sim</v>
      </c>
      <c r="U152" t="str">
        <v>Sim</v>
      </c>
      <c r="V152" t="str">
        <v>Ativo</v>
      </c>
      <c r="X152" t="str">
        <v>Não</v>
      </c>
      <c r="Y152" t="str">
        <v>Não</v>
      </c>
      <c r="Z152" t="str">
        <v>36 a 59 anos: Adulto</v>
      </c>
      <c r="AA152" t="str">
        <v>Não</v>
      </c>
      <c r="AB152" t="str">
        <v>Sem Grupo</v>
      </c>
      <c r="AC152" xml:space="preserve">
        <f xml:space="preserve">IFERROR(MATCH(G152,{"Janeiro";"Fevereiro";"Março";"Abril";"Maio";"Junho";"Julho";"Agosto";"Setembro";"Outubro";"Novembro";"Dezembro"},0),"")
</f>
        <v>7</v>
      </c>
      <c r="AD152" t="str">
        <v/>
      </c>
    </row>
    <row r="153" xml:space="preserve">
      <c r="A153">
        <v>45986.462989074076</v>
      </c>
      <c r="B153">
        <v>152</v>
      </c>
      <c r="C153" t="str">
        <f>UPPER(D153)</f>
        <v>LAÍS PEREIRA LIMA</v>
      </c>
      <c r="D153" t="str">
        <v>Laís Pereira Lima</v>
      </c>
      <c r="E153">
        <v>45656</v>
      </c>
      <c r="F153">
        <f>DATEDIF(E153,TODAY(),"Y")</f>
        <v>0</v>
      </c>
      <c r="G153" t="str">
        <f>TEXT(E153,"MMMM")</f>
        <v>dezembro</v>
      </c>
      <c r="H153">
        <v>27995239761</v>
      </c>
      <c r="I153" t="str">
        <v>Feminino</v>
      </c>
      <c r="M153" t="str">
        <v>Filha</v>
      </c>
      <c r="N153" t="str">
        <v>São João</v>
      </c>
      <c r="O153">
        <v>42</v>
      </c>
      <c r="P153" t="str">
        <v xml:space="preserve">Santo André </v>
      </c>
      <c r="Q153" t="str">
        <v>Cariacica</v>
      </c>
      <c r="R153" t="str">
        <v>ES</v>
      </c>
      <c r="S153">
        <v>29144766</v>
      </c>
      <c r="T153" t="str">
        <v>Não</v>
      </c>
      <c r="U153" t="str">
        <v>Não</v>
      </c>
      <c r="V153" t="str">
        <v>Ativo</v>
      </c>
      <c r="X153" t="str">
        <v>Não</v>
      </c>
      <c r="Y153" t="str">
        <v>Não</v>
      </c>
      <c r="Z153" t="str">
        <v>0 a 6 anos: Infância</v>
      </c>
      <c r="AA153" t="str">
        <v>Não</v>
      </c>
      <c r="AB153" t="str">
        <v>Sem Grupo</v>
      </c>
      <c r="AC153" xml:space="preserve">
        <f xml:space="preserve">IFERROR(MATCH(G153,{"Janeiro";"Fevereiro";"Março";"Abril";"Maio";"Junho";"Julho";"Agosto";"Setembro";"Outubro";"Novembro";"Dezembro"},0),"")
</f>
        <v>12</v>
      </c>
      <c r="AD153" t="str">
        <v/>
      </c>
    </row>
    <row r="154" xml:space="preserve">
      <c r="A154">
        <v>45986.68725122685</v>
      </c>
      <c r="B154">
        <v>153</v>
      </c>
      <c r="C154" t="str">
        <f>UPPER(D154)</f>
        <v xml:space="preserve">ADENIZIA FERREIRA DE OLIVEIRA HOFFMANN </v>
      </c>
      <c r="D154" t="str">
        <v xml:space="preserve">Adenizia Ferreira de Oliveira Hoffmann </v>
      </c>
      <c r="E154">
        <v>21317</v>
      </c>
      <c r="F154">
        <f>DATEDIF(E154,TODAY(),"Y")</f>
        <v>67</v>
      </c>
      <c r="G154" t="str">
        <f>TEXT(E154,"MMMM")</f>
        <v>maio</v>
      </c>
      <c r="H154">
        <v>27998430866</v>
      </c>
      <c r="I154" t="str">
        <v>Feminino</v>
      </c>
      <c r="L154" t="str">
        <v xml:space="preserve">Falecido. Feliz Carlos Hoffmann </v>
      </c>
      <c r="N154" t="str">
        <v xml:space="preserve">Sergipe </v>
      </c>
      <c r="O154">
        <v>1</v>
      </c>
      <c r="P154" t="str">
        <v xml:space="preserve">Campina grande </v>
      </c>
      <c r="Q154" t="str">
        <v>Cariacica</v>
      </c>
      <c r="R154" t="str">
        <v>ES</v>
      </c>
      <c r="S154">
        <v>29144416</v>
      </c>
      <c r="T154" t="str">
        <v>Sim</v>
      </c>
      <c r="U154" t="str">
        <v>Sim</v>
      </c>
      <c r="V154" t="str">
        <v>Ativo</v>
      </c>
      <c r="X154" t="str">
        <v>Não</v>
      </c>
      <c r="Y154" t="str">
        <v>Não</v>
      </c>
      <c r="Z154" t="str">
        <v>60+ anos</v>
      </c>
      <c r="AA154" t="str">
        <v>Não</v>
      </c>
      <c r="AB154" t="str">
        <v>Sem Grupo</v>
      </c>
      <c r="AC154" xml:space="preserve">
        <f xml:space="preserve">IFERROR(MATCH(G154,{"Janeiro";"Fevereiro";"Março";"Abril";"Maio";"Junho";"Julho";"Agosto";"Setembro";"Outubro";"Novembro";"Dezembro"},0),"")
</f>
        <v>5</v>
      </c>
      <c r="AD154" t="str">
        <v/>
      </c>
    </row>
    <row r="155" xml:space="preserve">
      <c r="A155">
        <v>45987.30364810185</v>
      </c>
      <c r="B155">
        <v>154</v>
      </c>
      <c r="C155" t="str">
        <f>UPPER(D155)</f>
        <v xml:space="preserve">MATHEUS SANTOS EVANGELISTA OLIVEIRA </v>
      </c>
      <c r="D155" t="str">
        <v xml:space="preserve">Matheus Santos evangelista oliveira </v>
      </c>
      <c r="E155">
        <v>43019</v>
      </c>
      <c r="F155">
        <f>DATEDIF(E155,TODAY(),"Y")</f>
        <v>8</v>
      </c>
      <c r="G155" t="str">
        <f>TEXT(E155,"MMMM")</f>
        <v>outubro</v>
      </c>
      <c r="H155">
        <v>27992478715</v>
      </c>
      <c r="I155" t="str">
        <v>Masculino</v>
      </c>
      <c r="M155" t="str">
        <v xml:space="preserve">Patricio e lohanna . Pais </v>
      </c>
      <c r="N155" t="str">
        <v xml:space="preserve">Rua Sergipe </v>
      </c>
      <c r="O155">
        <v>1</v>
      </c>
      <c r="P155" t="str">
        <v xml:space="preserve">Campina grande </v>
      </c>
      <c r="Q155" t="str">
        <v>Cariacica</v>
      </c>
      <c r="R155" t="str">
        <v>ES</v>
      </c>
      <c r="S155">
        <v>29144418</v>
      </c>
      <c r="T155" t="str">
        <v>Não</v>
      </c>
      <c r="U155" t="str">
        <v>Não</v>
      </c>
      <c r="V155" t="str">
        <v>Ativo</v>
      </c>
      <c r="X155" t="str">
        <v>Não</v>
      </c>
      <c r="Y155" t="str">
        <v>Não</v>
      </c>
      <c r="Z155" t="str">
        <v>7 a 10 anos: Criança</v>
      </c>
      <c r="AA155" t="str">
        <v>Não</v>
      </c>
      <c r="AB155" t="str">
        <v>Sem Grupo</v>
      </c>
      <c r="AC155" xml:space="preserve">
        <f xml:space="preserve">IFERROR(MATCH(G155,{"Janeiro";"Fevereiro";"Março";"Abril";"Maio";"Junho";"Julho";"Agosto";"Setembro";"Outubro";"Novembro";"Dezembro"},0),"")
</f>
        <v>10</v>
      </c>
      <c r="AD155" t="str">
        <v/>
      </c>
    </row>
    <row r="156" xml:space="preserve">
      <c r="A156">
        <v>45995.3571587037</v>
      </c>
      <c r="B156">
        <v>155</v>
      </c>
      <c r="C156" t="str">
        <f>UPPER(D156)</f>
        <v>AMANDA CARVALHO DA SILVA LIRA</v>
      </c>
      <c r="D156" t="str">
        <v>Amanda Carvalho da Silva Lira</v>
      </c>
      <c r="E156">
        <v>34485</v>
      </c>
      <c r="F156">
        <f>DATEDIF(E156,TODAY(),"Y")</f>
        <v>31</v>
      </c>
      <c r="G156" t="str">
        <f>TEXT(E156,"MMMM")</f>
        <v>maio</v>
      </c>
      <c r="H156">
        <v>27998367669</v>
      </c>
      <c r="I156" t="str">
        <v>Feminino</v>
      </c>
      <c r="M156" t="str">
        <v>Isaac Carvalho Lira (Filho)</v>
      </c>
      <c r="N156" t="str">
        <v>Rua São Paulo dos Apostolos</v>
      </c>
      <c r="O156">
        <v>282</v>
      </c>
      <c r="P156" t="str">
        <v>Tucum</v>
      </c>
      <c r="Q156" t="str">
        <v>Cariacica</v>
      </c>
      <c r="R156" t="str">
        <v>ES</v>
      </c>
      <c r="S156">
        <v>29152395</v>
      </c>
      <c r="T156" t="str">
        <v>Sim</v>
      </c>
      <c r="U156" t="str">
        <v>Sim</v>
      </c>
      <c r="V156" t="str">
        <v>Ativo</v>
      </c>
      <c r="X156" t="str">
        <v>Não</v>
      </c>
      <c r="Y156" t="str">
        <v>Não</v>
      </c>
      <c r="Z156" t="str">
        <v>18 a 35 anos: Jovem</v>
      </c>
      <c r="AA156" t="str">
        <v>Não</v>
      </c>
      <c r="AB156" t="str">
        <v>Sem Grupo</v>
      </c>
      <c r="AC156" xml:space="preserve">
        <f xml:space="preserve">IFERROR(MATCH(G156,{"Janeiro";"Fevereiro";"Março";"Abril";"Maio";"Junho";"Julho";"Agosto";"Setembro";"Outubro";"Novembro";"Dezembro"},0),"")
</f>
        <v>5</v>
      </c>
      <c r="AD156" t="str">
        <v/>
      </c>
    </row>
    <row r="157" xml:space="preserve">
      <c r="A157">
        <v>45995.36420391204</v>
      </c>
      <c r="B157">
        <v>156</v>
      </c>
      <c r="C157" t="str">
        <f>UPPER(D157)</f>
        <v>ISAAC CARVALHO LIRA</v>
      </c>
      <c r="D157" t="str">
        <v>Isaac Carvalho Lira</v>
      </c>
      <c r="E157">
        <v>44709</v>
      </c>
      <c r="F157">
        <f>DATEDIF(E157,TODAY(),"Y")</f>
        <v>3</v>
      </c>
      <c r="G157" t="str">
        <f>TEXT(E157,"MMMM")</f>
        <v>maio</v>
      </c>
      <c r="H157" t="str">
        <v>27 99836-7669</v>
      </c>
      <c r="I157" t="str">
        <v>Masculino</v>
      </c>
      <c r="M157" t="str">
        <v>Amanda Carvallho da Silva Lira (Mãe)</v>
      </c>
      <c r="N157" t="str">
        <v>Rua São Paulo dos Apóstolos</v>
      </c>
      <c r="O157">
        <v>282</v>
      </c>
      <c r="P157" t="str">
        <v>Tucum</v>
      </c>
      <c r="Q157" t="str">
        <v>Cariacica</v>
      </c>
      <c r="R157" t="str">
        <v>ES</v>
      </c>
      <c r="S157">
        <v>29152395</v>
      </c>
      <c r="T157" t="str">
        <v>Não</v>
      </c>
      <c r="U157" t="str">
        <v>Não</v>
      </c>
      <c r="V157" t="str">
        <v>Ativo</v>
      </c>
      <c r="X157" t="str">
        <v>Não</v>
      </c>
      <c r="Y157" t="str">
        <v>Não</v>
      </c>
      <c r="Z157" t="str">
        <v>0 a 6 anos: Infância</v>
      </c>
      <c r="AA157" t="str">
        <v>Não</v>
      </c>
      <c r="AB157" t="str">
        <v>Sem Grupo</v>
      </c>
      <c r="AC157" xml:space="preserve">
        <f xml:space="preserve">IFERROR(MATCH(G157,{"Janeiro";"Fevereiro";"Março";"Abril";"Maio";"Junho";"Julho";"Agosto";"Setembro";"Outubro";"Novembro";"Dezembro"},0),"")
</f>
        <v>5</v>
      </c>
      <c r="AD157" t="str">
        <v/>
      </c>
    </row>
    <row r="158" xml:space="preserve">
      <c r="A158">
        <v>45998.502262939815</v>
      </c>
      <c r="B158">
        <v>157</v>
      </c>
      <c r="C158" t="str">
        <f>UPPER(D158)</f>
        <v xml:space="preserve">JOSÉ CLENILSON BRITO DOS SANTOS </v>
      </c>
      <c r="D158" t="str">
        <v xml:space="preserve">José clenilson Brito dos Santos </v>
      </c>
      <c r="E158">
        <v>30600</v>
      </c>
      <c r="F158">
        <f>DATEDIF(E158,TODAY(),"Y")</f>
        <v>42</v>
      </c>
      <c r="G158" t="str">
        <f>TEXT(E158,"MMMM")</f>
        <v>outubro</v>
      </c>
      <c r="H158">
        <v>27997426794</v>
      </c>
      <c r="I158" t="str">
        <v>Masculino</v>
      </c>
      <c r="M158" t="str">
        <v>Milena régia Brito dos santos ( irmã )</v>
      </c>
      <c r="N158" t="str">
        <v xml:space="preserve">Itamarati </v>
      </c>
      <c r="O158">
        <v>111</v>
      </c>
      <c r="P158" t="str">
        <v xml:space="preserve">Itapemirim </v>
      </c>
      <c r="Q158" t="str">
        <v>Cariacica</v>
      </c>
      <c r="R158" t="str">
        <v>ES</v>
      </c>
      <c r="T158" t="str">
        <v>Sim</v>
      </c>
      <c r="U158" t="str">
        <v>Sim</v>
      </c>
      <c r="V158" t="str">
        <v>Ativo</v>
      </c>
      <c r="X158" t="str">
        <v>Não</v>
      </c>
      <c r="Y158" t="str">
        <v>Não</v>
      </c>
      <c r="Z158" t="str">
        <v>36 a 59 anos: Adulto</v>
      </c>
      <c r="AA158" t="str">
        <v>Não</v>
      </c>
      <c r="AB158" t="str">
        <v>Sem Grupo</v>
      </c>
      <c r="AC158" xml:space="preserve">
        <f xml:space="preserve">IFERROR(MATCH(G158,{"Janeiro";"Fevereiro";"Março";"Abril";"Maio";"Junho";"Julho";"Agosto";"Setembro";"Outubro";"Novembro";"Dezembro"},0),"")
</f>
        <v>10</v>
      </c>
      <c r="AD158" t="str">
        <v/>
      </c>
    </row>
    <row r="159" xml:space="preserve">
      <c r="A159">
        <v>45999.88962275463</v>
      </c>
      <c r="B159">
        <v>158</v>
      </c>
      <c r="C159" t="str">
        <f>UPPER(D159)</f>
        <v xml:space="preserve">ADRIANO EVANGELISTA VIEIRA </v>
      </c>
      <c r="D159" t="str">
        <v xml:space="preserve">Adriano Evangelista Vieira </v>
      </c>
      <c r="E159">
        <v>31447</v>
      </c>
      <c r="F159">
        <f>DATEDIF(E159,TODAY(),"Y")</f>
        <v>39</v>
      </c>
      <c r="G159" t="str">
        <f>TEXT(E159,"MMMM")</f>
        <v>fevereiro</v>
      </c>
      <c r="H159">
        <v>27998287354</v>
      </c>
      <c r="I159" t="str">
        <v>Masculino</v>
      </c>
      <c r="N159" t="str">
        <v xml:space="preserve">Santa Barbara </v>
      </c>
      <c r="O159">
        <v>103</v>
      </c>
      <c r="P159" t="str">
        <v xml:space="preserve">Rosa da Penha </v>
      </c>
      <c r="Q159" t="str">
        <v>Cariacica</v>
      </c>
      <c r="R159" t="str">
        <v>ES</v>
      </c>
      <c r="S159">
        <v>29143322</v>
      </c>
      <c r="T159" t="str">
        <v>Sim</v>
      </c>
      <c r="U159" t="str">
        <v>Sim</v>
      </c>
      <c r="V159" t="str">
        <v>Ativo</v>
      </c>
      <c r="X159" t="str">
        <v>Não</v>
      </c>
      <c r="Y159" t="str">
        <v>Não</v>
      </c>
      <c r="Z159" t="str">
        <v>36 a 59 anos: Adulto</v>
      </c>
      <c r="AA159" t="str">
        <v>Não</v>
      </c>
      <c r="AB159" t="str">
        <v>Sem Grupo</v>
      </c>
      <c r="AC159" xml:space="preserve">
        <f xml:space="preserve">IFERROR(MATCH(G159,{"Janeiro";"Fevereiro";"Março";"Abril";"Maio";"Junho";"Julho";"Agosto";"Setembro";"Outubro";"Novembro";"Dezembro"},0),"")
</f>
        <v>2</v>
      </c>
      <c r="AD159" t="str">
        <v/>
      </c>
    </row>
    <row r="160" xml:space="preserve">
      <c r="A160">
        <v>46006.33434601851</v>
      </c>
      <c r="B160">
        <v>159</v>
      </c>
      <c r="C160" t="str">
        <f>UPPER(D160)</f>
        <v>ÍTALO THEODORO LOPES</v>
      </c>
      <c r="D160" t="str">
        <v>Ítalo Theodoro Lopes</v>
      </c>
      <c r="E160">
        <v>45961</v>
      </c>
      <c r="F160">
        <f>DATEDIF(E160,TODAY(),"Y")</f>
        <v>0</v>
      </c>
      <c r="G160" t="str">
        <f>TEXT(E160,"MMMM")</f>
        <v>outubro</v>
      </c>
      <c r="I160" t="str">
        <v>Masculino</v>
      </c>
      <c r="M160" t="str">
        <v>Pais Larissa e Richardson</v>
      </c>
      <c r="N160" t="str">
        <v xml:space="preserve">Itaguaçu </v>
      </c>
      <c r="O160">
        <v>35</v>
      </c>
      <c r="P160" t="str">
        <v>Morada de Santa Fé</v>
      </c>
      <c r="Q160" t="str">
        <v>Cariacica</v>
      </c>
      <c r="R160" t="str">
        <v>ES</v>
      </c>
      <c r="S160">
        <v>29143666</v>
      </c>
      <c r="T160" t="str">
        <v>Não</v>
      </c>
      <c r="U160" t="str">
        <v>Não</v>
      </c>
      <c r="V160" t="str">
        <v>Ativo</v>
      </c>
      <c r="X160" t="str">
        <v>Não</v>
      </c>
      <c r="Y160" t="str">
        <v>Não</v>
      </c>
      <c r="Z160" t="str">
        <v>0 a 6 anos: Infância</v>
      </c>
      <c r="AA160" t="str">
        <v>Não</v>
      </c>
      <c r="AB160" t="str">
        <v>Sem Grupo</v>
      </c>
      <c r="AC160" xml:space="preserve">
        <f xml:space="preserve">IFERROR(MATCH(G160,{"Janeiro";"Fevereiro";"Março";"Abril";"Maio";"Junho";"Julho";"Agosto";"Setembro";"Outubro";"Novembro";"Dezembro"},0),"")
</f>
        <v>10</v>
      </c>
      <c r="AD160" t="str">
        <v/>
      </c>
    </row>
    <row r="161" xml:space="preserve">
      <c r="A161">
        <v>46006.42714490741</v>
      </c>
      <c r="B161">
        <v>160</v>
      </c>
      <c r="C161" t="str">
        <f>UPPER(D161)</f>
        <v xml:space="preserve">NICOLLE FRAGA DOS SANTOS </v>
      </c>
      <c r="D161" t="str">
        <v xml:space="preserve">Nicolle Fraga Dos Santos </v>
      </c>
      <c r="E161">
        <v>39247</v>
      </c>
      <c r="F161">
        <f>DATEDIF(E161,TODAY(),"Y")</f>
        <v>18</v>
      </c>
      <c r="G161" t="str">
        <f>TEXT(E161,"MMMM")</f>
        <v>junho</v>
      </c>
      <c r="H161">
        <v>27992920829</v>
      </c>
      <c r="I161" t="str">
        <v>Feminino</v>
      </c>
      <c r="N161" t="str">
        <v xml:space="preserve">Avenida união </v>
      </c>
      <c r="O161">
        <v>750</v>
      </c>
      <c r="P161" t="str">
        <v xml:space="preserve">Nova esperança </v>
      </c>
      <c r="Q161" t="str">
        <v>Conceição do Castelo</v>
      </c>
      <c r="R161" t="str">
        <v>ES</v>
      </c>
      <c r="S161">
        <v>29157520</v>
      </c>
      <c r="T161" t="str">
        <v>Sim</v>
      </c>
      <c r="U161" t="str">
        <v>Não</v>
      </c>
      <c r="V161" t="str">
        <v>Ativo</v>
      </c>
      <c r="X161" t="str">
        <v>Não</v>
      </c>
      <c r="Y161" t="str">
        <v>Não</v>
      </c>
      <c r="Z161" t="str">
        <v>18 a 35 anos: Jovem</v>
      </c>
      <c r="AA161" t="str">
        <v>Não</v>
      </c>
      <c r="AB161" t="str">
        <v>Sem Grupo</v>
      </c>
      <c r="AC161" xml:space="preserve">
        <f xml:space="preserve">IFERROR(MATCH(G161,{"Janeiro";"Fevereiro";"Março";"Abril";"Maio";"Junho";"Julho";"Agosto";"Setembro";"Outubro";"Novembro";"Dezembro"},0),"")
</f>
        <v>6</v>
      </c>
      <c r="AD161" t="str">
        <v/>
      </c>
    </row>
    <row r="162" xml:space="preserve">
      <c r="A162">
        <v>46006.43482525463</v>
      </c>
      <c r="B162">
        <v>161</v>
      </c>
      <c r="C162" t="str">
        <f>UPPER(D162)</f>
        <v xml:space="preserve">JOSÉ FELIPE MARRIEL DA PAIXÃO </v>
      </c>
      <c r="D162" t="str">
        <v xml:space="preserve">José Felipe Marriel da Paixão </v>
      </c>
      <c r="E162">
        <v>32929</v>
      </c>
      <c r="F162">
        <f>DATEDIF(E162,TODAY(),"Y")</f>
        <v>35</v>
      </c>
      <c r="G162" t="str">
        <f>TEXT(E162,"MMMM")</f>
        <v>fevereiro</v>
      </c>
      <c r="H162">
        <v>27996102460</v>
      </c>
      <c r="I162" t="str">
        <v>Masculino</v>
      </c>
      <c r="K162" t="str">
        <v>Casado(a)</v>
      </c>
      <c r="L162" t="str">
        <v xml:space="preserve">Letícia de Souza Siqueira rocha Marriel </v>
      </c>
      <c r="M162" t="str">
        <v xml:space="preserve">Esposa </v>
      </c>
      <c r="N162" t="str">
        <v xml:space="preserve">Maria Zuleica de Siqueira Pádua </v>
      </c>
      <c r="O162" t="str">
        <v xml:space="preserve">Sn </v>
      </c>
      <c r="P162" t="str">
        <v xml:space="preserve">Ribeira </v>
      </c>
      <c r="Q162" t="str">
        <v>Viana</v>
      </c>
      <c r="R162" t="str">
        <v>ES</v>
      </c>
      <c r="S162">
        <v>29132702</v>
      </c>
      <c r="T162" t="str">
        <v>Sim</v>
      </c>
      <c r="U162" t="str">
        <v>Sim</v>
      </c>
      <c r="V162" t="str">
        <v>Ativo</v>
      </c>
      <c r="X162" t="str">
        <v>Não</v>
      </c>
      <c r="Y162" t="str">
        <v>Não</v>
      </c>
      <c r="Z162" t="str">
        <v>18 a 35 anos: Jovem</v>
      </c>
      <c r="AA162" t="str">
        <v>Não</v>
      </c>
      <c r="AB162" t="str">
        <v>Sem Grupo</v>
      </c>
      <c r="AC162" xml:space="preserve">
        <f xml:space="preserve">IFERROR(MATCH(G162,{"Janeiro";"Fevereiro";"Março";"Abril";"Maio";"Junho";"Julho";"Agosto";"Setembro";"Outubro";"Novembro";"Dezembro"},0),"")
</f>
        <v>2</v>
      </c>
      <c r="AD162" t="str">
        <v/>
      </c>
    </row>
    <row r="163" xml:space="preserve">
      <c r="A163">
        <v>46006.436975046294</v>
      </c>
      <c r="B163">
        <v>162</v>
      </c>
      <c r="C163" t="str">
        <f>UPPER(D163)</f>
        <v xml:space="preserve">LETÍCIA DE SOUZA SIQUEIRA ROCHA MARRIEL </v>
      </c>
      <c r="D163" t="str">
        <v xml:space="preserve">Letícia de Souza Siqueira rocha Marriel </v>
      </c>
      <c r="E163">
        <v>34573</v>
      </c>
      <c r="F163">
        <f>DATEDIF(E163,TODAY(),"Y")</f>
        <v>31</v>
      </c>
      <c r="G163" t="str">
        <f>TEXT(E163,"MMMM")</f>
        <v>agosto</v>
      </c>
      <c r="H163">
        <v>27998627566</v>
      </c>
      <c r="I163" t="str">
        <v>Feminino</v>
      </c>
      <c r="K163" t="str">
        <v>Casado(a)</v>
      </c>
      <c r="L163" t="str">
        <v>JOSE FELIPE MARRIEL DA PAIXAO</v>
      </c>
      <c r="M163" t="str">
        <v xml:space="preserve">Esposo </v>
      </c>
      <c r="N163" t="str">
        <v xml:space="preserve">Rua Zuleica Siqueira Pádua </v>
      </c>
      <c r="O163" t="str">
        <v>Sn</v>
      </c>
      <c r="P163" t="str">
        <v xml:space="preserve">Ribeira </v>
      </c>
      <c r="Q163" t="str">
        <v>Viana</v>
      </c>
      <c r="R163" t="str">
        <v>ES</v>
      </c>
      <c r="S163">
        <v>29132702</v>
      </c>
      <c r="T163" t="str">
        <v>Sim</v>
      </c>
      <c r="U163" t="str">
        <v>Sim</v>
      </c>
      <c r="V163" t="str">
        <v>Ativo</v>
      </c>
      <c r="X163" t="str">
        <v>Não</v>
      </c>
      <c r="Y163" t="str">
        <v>Não</v>
      </c>
      <c r="Z163" t="str">
        <v>18 a 35 anos: Jovem</v>
      </c>
      <c r="AA163" t="str">
        <v>Não</v>
      </c>
      <c r="AB163" t="str">
        <v>Sem Grupo</v>
      </c>
      <c r="AC163" xml:space="preserve">
        <f xml:space="preserve">IFERROR(MATCH(G163,{"Janeiro";"Fevereiro";"Março";"Abril";"Maio";"Junho";"Julho";"Agosto";"Setembro";"Outubro";"Novembro";"Dezembro"},0),"")
</f>
        <v>8</v>
      </c>
      <c r="AD163" t="str">
        <v/>
      </c>
    </row>
    <row r="164" xml:space="preserve">
      <c r="A164">
        <v>46006.43798204861</v>
      </c>
      <c r="B164">
        <v>163</v>
      </c>
      <c r="C164" t="str">
        <f>UPPER(D164)</f>
        <v xml:space="preserve">BENTO DE SOUZA MARRIEL </v>
      </c>
      <c r="D164" t="str">
        <v xml:space="preserve">Bento de Souza Marriel </v>
      </c>
      <c r="E164">
        <v>45348</v>
      </c>
      <c r="F164">
        <f>DATEDIF(E164,TODAY(),"Y")</f>
        <v>1</v>
      </c>
      <c r="G164" t="str">
        <f>TEXT(E164,"MMMM")</f>
        <v>fevereiro</v>
      </c>
      <c r="I164" t="str">
        <v>Masculino</v>
      </c>
      <c r="M164" t="str">
        <v xml:space="preserve">Filho </v>
      </c>
      <c r="N164" t="str">
        <v xml:space="preserve">Maria Zuleica de Siqueira Pádua </v>
      </c>
      <c r="O164" t="str">
        <v>Sn</v>
      </c>
      <c r="P164" t="str">
        <v xml:space="preserve">Ribeira </v>
      </c>
      <c r="Q164" t="str">
        <v>Viana</v>
      </c>
      <c r="R164" t="str">
        <v>ES</v>
      </c>
      <c r="S164">
        <v>29132702</v>
      </c>
      <c r="T164" t="str">
        <v>Não</v>
      </c>
      <c r="U164" t="str">
        <v>Não</v>
      </c>
      <c r="V164" t="str">
        <v>Ativo</v>
      </c>
      <c r="X164" t="str">
        <v>Não</v>
      </c>
      <c r="Y164" t="str">
        <v>Não</v>
      </c>
      <c r="Z164" t="str">
        <v>0 a 6 anos: Infância</v>
      </c>
      <c r="AA164" t="str">
        <v>Não</v>
      </c>
      <c r="AB164" t="str">
        <v>Sem Grupo</v>
      </c>
      <c r="AC164" xml:space="preserve">
        <f xml:space="preserve">IFERROR(MATCH(G164,{"Janeiro";"Fevereiro";"Março";"Abril";"Maio";"Junho";"Julho";"Agosto";"Setembro";"Outubro";"Novembro";"Dezembro"},0),"")
</f>
        <v>2</v>
      </c>
      <c r="AD164" t="str">
        <v/>
      </c>
    </row>
    <row r="165">
      <c r="AD165" t="str">
        <v/>
      </c>
    </row>
    <row r="166">
      <c r="AD166" t="str">
        <v/>
      </c>
    </row>
    <row r="167">
      <c r="AD167" t="str">
        <v/>
      </c>
    </row>
    <row r="168">
      <c r="AD168" t="str">
        <v/>
      </c>
    </row>
    <row r="169">
      <c r="AD169" t="str">
        <v/>
      </c>
    </row>
    <row r="170">
      <c r="AD170" t="str">
        <v/>
      </c>
    </row>
    <row r="171">
      <c r="AD171" t="str">
        <v/>
      </c>
    </row>
    <row r="172">
      <c r="AD172" t="str">
        <v/>
      </c>
    </row>
    <row r="173">
      <c r="AD173" t="str">
        <v/>
      </c>
    </row>
    <row r="174">
      <c r="AD174" t="str">
        <v/>
      </c>
    </row>
    <row r="175">
      <c r="AD175" t="str">
        <v/>
      </c>
    </row>
    <row r="176">
      <c r="AD176" t="str">
        <v/>
      </c>
    </row>
    <row r="177">
      <c r="AD177" t="str">
        <v/>
      </c>
    </row>
    <row r="178">
      <c r="AD178" t="str">
        <v/>
      </c>
    </row>
    <row r="179">
      <c r="AD179" t="str">
        <v/>
      </c>
    </row>
    <row r="180">
      <c r="AD180" t="str">
        <v/>
      </c>
    </row>
    <row r="181">
      <c r="AD181" t="str">
        <v/>
      </c>
    </row>
    <row r="182">
      <c r="AD182" t="str">
        <v/>
      </c>
    </row>
    <row r="183">
      <c r="AD183" t="str">
        <v/>
      </c>
    </row>
    <row r="184">
      <c r="AD184" t="str">
        <v/>
      </c>
    </row>
    <row r="185">
      <c r="AD185" t="str">
        <v/>
      </c>
    </row>
    <row r="186">
      <c r="AD186" t="str">
        <v/>
      </c>
    </row>
    <row r="187">
      <c r="AD187" t="str">
        <v/>
      </c>
    </row>
    <row r="188">
      <c r="AD188" t="str">
        <v/>
      </c>
    </row>
    <row r="189">
      <c r="AD189" t="str">
        <v/>
      </c>
    </row>
    <row r="190">
      <c r="AD190" t="str">
        <v/>
      </c>
    </row>
    <row r="191">
      <c r="AD191" t="str">
        <v/>
      </c>
    </row>
    <row r="192">
      <c r="AD192" t="str">
        <v/>
      </c>
    </row>
    <row r="193">
      <c r="AD193" t="str">
        <v/>
      </c>
    </row>
    <row r="194">
      <c r="AD194" t="str">
        <v/>
      </c>
    </row>
    <row r="195">
      <c r="AD195" t="str">
        <v/>
      </c>
    </row>
    <row r="196">
      <c r="AD196" t="str">
        <v/>
      </c>
    </row>
    <row r="197">
      <c r="AD197" t="str">
        <v/>
      </c>
    </row>
    <row r="198">
      <c r="AD198" t="str">
        <v/>
      </c>
    </row>
    <row r="199">
      <c r="AD199" t="str">
        <v/>
      </c>
    </row>
    <row r="200">
      <c r="AD200" t="str">
        <v/>
      </c>
    </row>
    <row r="201">
      <c r="AD201" t="str">
        <v/>
      </c>
    </row>
    <row r="202">
      <c r="AD202" t="str">
        <v/>
      </c>
    </row>
    <row r="203">
      <c r="AD203" t="str">
        <v/>
      </c>
    </row>
    <row r="204">
      <c r="AD204" t="str">
        <v/>
      </c>
    </row>
    <row r="205">
      <c r="AD205" t="str">
        <v/>
      </c>
    </row>
    <row r="206">
      <c r="AD206" t="str">
        <v/>
      </c>
    </row>
    <row r="207">
      <c r="AD207" t="str">
        <v/>
      </c>
    </row>
    <row r="208">
      <c r="AD208" t="str">
        <v/>
      </c>
    </row>
    <row r="209">
      <c r="AD209" t="str">
        <v/>
      </c>
    </row>
    <row r="210">
      <c r="AD210" t="str">
        <v/>
      </c>
    </row>
    <row r="211">
      <c r="AD211" t="str">
        <v/>
      </c>
    </row>
    <row r="212">
      <c r="AD212" t="str">
        <v/>
      </c>
    </row>
    <row r="213">
      <c r="AD213" t="str">
        <v/>
      </c>
    </row>
    <row r="214">
      <c r="AD214" t="str">
        <v/>
      </c>
    </row>
    <row r="215">
      <c r="AD215" t="str">
        <v/>
      </c>
    </row>
    <row r="216">
      <c r="AD216" t="str">
        <v/>
      </c>
    </row>
    <row r="217">
      <c r="AD217" t="str">
        <v/>
      </c>
    </row>
    <row r="218">
      <c r="AD218" t="str">
        <v/>
      </c>
    </row>
    <row r="219">
      <c r="AD219" t="str">
        <v/>
      </c>
    </row>
    <row r="220">
      <c r="AD220" t="str">
        <v/>
      </c>
    </row>
    <row r="221">
      <c r="AD221" t="str">
        <v/>
      </c>
    </row>
    <row r="222">
      <c r="AD222" t="str">
        <v/>
      </c>
    </row>
    <row r="223">
      <c r="AD223" t="str">
        <v/>
      </c>
    </row>
    <row r="224">
      <c r="AD224" t="str">
        <v/>
      </c>
    </row>
    <row r="225">
      <c r="AD225" t="str">
        <v/>
      </c>
    </row>
    <row r="226">
      <c r="AD226" t="str">
        <v/>
      </c>
    </row>
    <row r="227">
      <c r="AD227" t="str">
        <v/>
      </c>
    </row>
    <row r="228">
      <c r="AD228" t="str">
        <v/>
      </c>
    </row>
    <row r="229">
      <c r="AD229" t="str">
        <v/>
      </c>
    </row>
    <row r="230">
      <c r="AD230" t="str">
        <v/>
      </c>
    </row>
    <row r="231">
      <c r="AD231" t="str">
        <v/>
      </c>
    </row>
    <row r="232">
      <c r="AD232" t="str">
        <v/>
      </c>
    </row>
    <row r="233">
      <c r="AD233" t="str">
        <v/>
      </c>
    </row>
    <row r="234">
      <c r="AD234" t="str">
        <v/>
      </c>
    </row>
    <row r="235">
      <c r="AD235" t="str">
        <v/>
      </c>
    </row>
    <row r="236">
      <c r="AD236" t="str">
        <v/>
      </c>
    </row>
    <row r="237">
      <c r="AD237" t="str">
        <v/>
      </c>
    </row>
    <row r="238">
      <c r="AD238" t="str">
        <v/>
      </c>
    </row>
    <row r="239">
      <c r="AD239" t="str">
        <v/>
      </c>
    </row>
    <row r="240">
      <c r="AD240" t="str">
        <v/>
      </c>
    </row>
    <row r="241">
      <c r="AD241" t="str">
        <v/>
      </c>
    </row>
    <row r="242">
      <c r="AD242" t="str">
        <v/>
      </c>
    </row>
    <row r="243">
      <c r="AD243" t="str">
        <v/>
      </c>
    </row>
    <row r="244">
      <c r="AD244" t="str">
        <v/>
      </c>
    </row>
    <row r="245">
      <c r="AD245" t="str">
        <v/>
      </c>
    </row>
    <row r="246">
      <c r="AD246" t="str">
        <v/>
      </c>
    </row>
    <row r="247">
      <c r="AD247" t="str">
        <v/>
      </c>
    </row>
    <row r="248">
      <c r="AD248" t="str">
        <v/>
      </c>
    </row>
    <row r="249">
      <c r="AD249" t="str">
        <v/>
      </c>
    </row>
    <row r="250">
      <c r="AD250" t="str">
        <v/>
      </c>
    </row>
    <row r="251">
      <c r="AD251" t="str">
        <v/>
      </c>
    </row>
    <row r="252">
      <c r="AD252" t="str">
        <v/>
      </c>
    </row>
    <row r="253">
      <c r="AD253" t="str">
        <v/>
      </c>
    </row>
    <row r="254">
      <c r="AD254" t="str">
        <v/>
      </c>
    </row>
    <row r="255">
      <c r="AD255" t="str">
        <v/>
      </c>
    </row>
  </sheetData>
  <pageMargins left="0.7" right="0.7" top="0.75" bottom="0.75" header="0" footer="0"/>
  <ignoredErrors>
    <ignoredError numberStoredAsText="1" sqref="A1:AD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Cadastro de Mebros IBVP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